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2b0defd7524d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havior Inventory" sheetId="1" r:id="R9a0984223ffb4a13"/>
    <x:sheet xmlns:r="http://schemas.openxmlformats.org/officeDocument/2006/relationships" name="Coverage &amp; Boundaries" sheetId="2" r:id="R60852c5a949448e7"/>
    <x:sheet xmlns:r="http://schemas.openxmlformats.org/officeDocument/2006/relationships" name="Review &amp; Plan" sheetId="3" r:id="R5846143b9ab14e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9"/>
      <x:color rgb="FF526174"/>
      <x:name val="Carlito"/>
    </x:font>
    <x:font>
      <x:b/>
      <x:sz val="9"/>
      <x:color rgb="FFFFFFFF"/>
      <x:name val="Carlito"/>
    </x:font>
    <x:font>
      <x:sz val="9"/>
      <x:color rgb="FF172033"/>
      <x:name val="Carlito"/>
    </x:font>
    <x:font>
      <x:b/>
      <x:sz val="9"/>
      <x:color rgb="FF0F766E"/>
      <x:name val="Carlito"/>
    </x:font>
    <x:font>
      <x:b/>
      <x:sz val="18"/>
      <x:color rgb="FF0F172A"/>
      <x:name val="Carlito"/>
    </x:font>
    <x:font>
      <x:b/>
      <x:sz val="10"/>
      <x:color rgb="FF0F766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CCFBF1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CBD5E1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CBD5E1"/>
      </x:right>
      <x:top style="thin">
        <x:color rgb="FFCBD5E1"/>
      </x:top>
      <x:bottom style="thin">
        <x:color rgb="FFFFFFFF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10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4" fillId="5" borderId="10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 applyAlignment="1">
      <x:alignment horizontal="center"/>
    </x:xf>
    <x:xf numFmtId="0" fontId="6" fillId="5" borderId="5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6" fillId="5" borderId="5" xfId="0" applyNumberFormat="1" applyFont="1" applyFill="1" applyBorder="1" applyAlignment="1">
      <x:alignment horizontal="center" vertical="center"/>
    </x:xf>
    <x:xf numFmtId="200" fontId="6" fillId="5" borderId="7" xfId="0" applyNumberFormat="1" applyFont="1" applyFill="1" applyBorder="1" applyAlignment="1">
      <x:alignment horizontal="center" vertical="center"/>
    </x:xf>
    <x:xf numFmtId="200" fontId="6" fillId="5" borderId="5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62516ec5be44cf" /><Relationship Type="http://schemas.openxmlformats.org/officeDocument/2006/relationships/theme" Target="/xl/theme/theme1.xml" Id="Rd1bb6985e3b04c87" /><Relationship Type="http://schemas.openxmlformats.org/officeDocument/2006/relationships/sharedStrings" Target="/xl/sharedStrings.xml" Id="Ra383163ba0dc43e6" /><Relationship Type="http://schemas.openxmlformats.org/officeDocument/2006/relationships/worksheet" Target="/xl/worksheets/sheet1.xml" Id="R9a0984223ffb4a13" /><Relationship Type="http://schemas.openxmlformats.org/officeDocument/2006/relationships/worksheet" Target="/xl/worksheets/sheet2.xml" Id="R60852c5a949448e7" /><Relationship Type="http://schemas.openxmlformats.org/officeDocument/2006/relationships/worksheet" Target="/xl/worksheets/sheet3.xml" Id="R5846143b9ab14ee0" /></Relationships>
</file>

<file path=xl/tables/table1.xml><?xml version="1.0" encoding="utf-8"?>
<x:table xmlns:x="http://schemas.openxmlformats.org/spreadsheetml/2006/main" id="1" name="BehaviorInventoryTable" displayName="BehaviorInventoryTable" ref="A4:Y38" headerRowCount="1" totalsRowCount="0" totalsRowShown="0">
  <x:tableColumns count="25">
    <x:tableColumn id="1" name="Feature ID"/>
    <x:tableColumn id="2" name="Area"/>
    <x:tableColumn id="3" name="Surface"/>
    <x:tableColumn id="4" name="User story"/>
    <x:tableColumn id="5" name="Persona / role"/>
    <x:tableColumn id="6" name="Auth state"/>
    <x:tableColumn id="7" name="Data precondition"/>
    <x:tableColumn id="8" name="Viewport"/>
    <x:tableColumn id="9" name="Expected behavior from code"/>
    <x:tableColumn id="10" name="User-acceptable behavior"/>
    <x:tableColumn id="11" name="Source files/functions"/>
    <x:tableColumn id="12" name="Test method"/>
    <x:tableColumn id="13" name="Test command/actions"/>
    <x:tableColumn id="14" name="Observed behavior"/>
    <x:tableColumn id="15" name="Status"/>
    <x:tableColumn id="16" name="Defect ID"/>
    <x:tableColumn id="17" name="Defect type"/>
    <x:tableColumn id="18" name="Root cause"/>
    <x:tableColumn id="19" name="Fix summary"/>
    <x:tableColumn id="20" name="Regression test added"/>
    <x:tableColumn id="21" name="Complexity review"/>
    <x:tableColumn id="22" name="Evidence"/>
    <x:tableColumn id="23" name="Iteration"/>
    <x:tableColumn id="24" name="Last tested commit"/>
    <x:tableColumn id="25" name="Open ques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verageBoundaryTable" displayName="CoverageBoundaryTable" ref="A4:F19" headerRowCount="1" totalsRowCount="0" totalsRowShown="0">
  <x:tableColumns count="6">
    <x:tableColumn id="1" name="Scope area"/>
    <x:tableColumn id="2" name="PRD references"/>
    <x:tableColumn id="3" name="Inventory IDs"/>
    <x:tableColumn id="4" name="Status"/>
    <x:tableColumn id="5" name="What is true now"/>
    <x:tableColumn id="6" name="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7c7dcdb113f46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f6a473fff6b4f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28" hidden="0" customWidth="1"/>
    <x:col min="5" max="5" width="18" hidden="0" customWidth="1"/>
    <x:col min="6" max="6" width="15" hidden="0" customWidth="1"/>
    <x:col min="7" max="7" width="25" hidden="0" customWidth="1"/>
    <x:col min="8" max="8" width="18" hidden="0" customWidth="1"/>
    <x:col min="9" max="9" width="36" hidden="0" customWidth="1"/>
    <x:col min="10" max="10" width="32" hidden="0" customWidth="1"/>
    <x:col min="11" max="11" width="42" hidden="0" customWidth="1"/>
    <x:col min="12" max="12" width="22" hidden="0" customWidth="1"/>
    <x:col min="13" max="13" width="32" hidden="0" customWidth="1"/>
    <x:col min="14" max="14" width="34" hidden="0" customWidth="1"/>
    <x:col min="15" max="15" width="22" hidden="0" customWidth="1"/>
    <x:col min="16" max="16" width="12" hidden="0" customWidth="1"/>
    <x:col min="17" max="17" width="17" hidden="0" customWidth="1"/>
    <x:col min="18" max="18" width="28" hidden="0" customWidth="1"/>
    <x:col min="19" max="19" width="30" hidden="0" customWidth="1"/>
    <x:col min="20" max="20" width="24" hidden="0" customWidth="1"/>
    <x:col min="21" max="21" width="28" hidden="0" customWidth="1"/>
    <x:col min="22" max="22" width="38" hidden="0" customWidth="1"/>
    <x:col min="23" max="23" width="11" hidden="0" customWidth="1"/>
    <x:col min="24" max="24" width="14" hidden="0" customWidth="1"/>
    <x:col min="25" max="25" width="34" hidden="0" customWidth="1"/>
  </x:cols>
  <x:sheetData>
    <x:row r="1" ht="30" customHeight="1">
      <x:c r="A1" s="4" t="str">
        <x:v>Pronto behavior inventory | facts before judgments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 ht="26" customHeight="1">
      <x:c r="A2" s="8" t="str">
        <x:v>Source: /Users/jakyeamos/Downloads/pronto_prd.md | reviewed 2026-07-25 | implementation snapshot d332573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</x:row>
    <x:row r="3" ht="26" customHeight="1">
      <x:c r="A3" s="8" t="str">
        <x:v>Status key: Regression-Covered = automated regression; Verified = direct command/build; Needs-Environment = live desktop/provider not exercised; Deferred = intentionally outside this slice; Needs-Product-Decision = unresolved product boundary.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</x:row>
    <x:row r="4" ht="38" customHeight="1">
      <x:c r="A4" s="47" t="str">
        <x:v>Feature ID</x:v>
      </x:c>
      <x:c r="B4" s="48" t="str">
        <x:v>Area</x:v>
      </x:c>
      <x:c r="C4" s="48" t="str">
        <x:v>Surface</x:v>
      </x:c>
      <x:c r="D4" s="48" t="str">
        <x:v>User story</x:v>
      </x:c>
      <x:c r="E4" s="48" t="str">
        <x:v>Persona / role</x:v>
      </x:c>
      <x:c r="F4" s="48" t="str">
        <x:v>Auth state</x:v>
      </x:c>
      <x:c r="G4" s="48" t="str">
        <x:v>Data precondition</x:v>
      </x:c>
      <x:c r="H4" s="48" t="str">
        <x:v>Viewport</x:v>
      </x:c>
      <x:c r="I4" s="48" t="str">
        <x:v>Expected behavior from code</x:v>
      </x:c>
      <x:c r="J4" s="48" t="str">
        <x:v>User-acceptable behavior</x:v>
      </x:c>
      <x:c r="K4" s="48" t="str">
        <x:v>Source files/functions</x:v>
      </x:c>
      <x:c r="L4" s="48" t="str">
        <x:v>Test method</x:v>
      </x:c>
      <x:c r="M4" s="48" t="str">
        <x:v>Test command/actions</x:v>
      </x:c>
      <x:c r="N4" s="48" t="str">
        <x:v>Observed behavior</x:v>
      </x:c>
      <x:c r="O4" s="48" t="str">
        <x:v>Status</x:v>
      </x:c>
      <x:c r="P4" s="48" t="str">
        <x:v>Defect ID</x:v>
      </x:c>
      <x:c r="Q4" s="48" t="str">
        <x:v>Defect type</x:v>
      </x:c>
      <x:c r="R4" s="48" t="str">
        <x:v>Root cause</x:v>
      </x:c>
      <x:c r="S4" s="48" t="str">
        <x:v>Fix summary</x:v>
      </x:c>
      <x:c r="T4" s="48" t="str">
        <x:v>Regression test added</x:v>
      </x:c>
      <x:c r="U4" s="48" t="str">
        <x:v>Complexity review</x:v>
      </x:c>
      <x:c r="V4" s="48" t="str">
        <x:v>Evidence</x:v>
      </x:c>
      <x:c r="W4" s="48" t="str">
        <x:v>Iteration</x:v>
      </x:c>
      <x:c r="X4" s="48" t="str">
        <x:v>Last tested commit</x:v>
      </x:c>
      <x:c r="Y4" s="49" t="str">
        <x:v>Open question / notes</x:v>
      </x:c>
    </x:row>
    <x:row r="5" ht="70" customHeight="1">
      <x:c r="A5" s="50" t="str">
        <x:v>DISC-001</x:v>
      </x:c>
      <x:c r="B5" s="36" t="str">
        <x:v>Discovery</x:v>
      </x:c>
      <x:c r="C5" s="36" t="str">
        <x:v>Onboarding / command center</x:v>
      </x:c>
      <x:c r="D5" s="36" t="str">
        <x:v>As an operator, I can register a filesystem root.</x:v>
      </x:c>
      <x:c r="E5" s="36" t="str">
        <x:v>Local operator</x:v>
      </x:c>
      <x:c r="F5" s="36" t="str">
        <x:v>Local-only</x:v>
      </x:c>
      <x:c r="G5" s="36" t="str">
        <x:v>A readable folder selected by the user</x:v>
      </x:c>
      <x:c r="H5" s="36" t="str">
        <x:v>Desktop 1280×800</x:v>
      </x:c>
      <x:c r="I5" s="36" t="str">
        <x:v>The root is canonicalized, persisted, scanned immediately, and surfaced as a registered root.</x:v>
      </x:c>
      <x:c r="J5" s="36" t="str">
        <x:v>A successful registration gives immediate local portfolio feedback and does not require provider login.</x:v>
      </x:c>
      <x:c r="K5" s="36" t="str">
        <x:v>src-tauri/src/core.rs:1410-1444 (register_root_and_scan, register_root); src/renderer/src/App.tsx:100-121; /Users/jakyeamos/Downloads/pronto_prd.md:272-274</x:v>
      </x:c>
      <x:c r="L5" s="36" t="str">
        <x:v>Source review + desktop runtime check</x:v>
      </x:c>
      <x:c r="M5" s="36" t="str">
        <x:v>pnpm dev; click Add root; select a folder</x:v>
      </x:c>
      <x:c r="N5" s="36" t="str">
        <x:v>Command and picker wiring are implemented; the live Tauri folder picker was not exercised in this environment.</x:v>
      </x:c>
      <x:c r="O5" s="36" t="str">
        <x:v>Needs-Environment</x:v>
      </x:c>
      <x:c r="P5" s="36" t="str"/>
      <x:c r="Q5" s="36" t="str">
        <x:v>Environment</x:v>
      </x:c>
      <x:c r="R5" s="36" t="str">
        <x:v>Desktop dialog and platform permission state are not represented by Rust unit tests.</x:v>
      </x:c>
      <x:c r="S5" s="36" t="str">
        <x:v>Typed dialog invoke path and Rust registration command are present.</x:v>
      </x:c>
      <x:c r="T5" s="36" t="str">
        <x:v>No; requires live desktop verification.</x:v>
      </x:c>
      <x:c r="U5" s="36" t="str">
        <x:v>Small command boundary; no provider state is mixed into registration.</x:v>
      </x:c>
      <x:c r="V5" s="36" t="str">
        <x:v>Implementation plan; /Users/jakyeamos/Downloads/pronto_prd.md:272-274; code lines cited above</x:v>
      </x:c>
      <x:c r="W5" s="36" t="str">
        <x:v>1</x:v>
      </x:c>
      <x:c r="X5" s="36" t="str">
        <x:v>d332573</x:v>
      </x:c>
      <x:c r="Y5" s="36" t="str">
        <x:v>Verify macOS, Windows, and Linux folder permissions when the desktop shell is launched.</x:v>
      </x:c>
    </x:row>
    <x:row r="6" ht="70" customHeight="1">
      <x:c r="A6" s="51" t="str">
        <x:v>DISC-002</x:v>
      </x:c>
      <x:c r="B6" s="39" t="str">
        <x:v>Discovery</x:v>
      </x:c>
      <x:c r="C6" s="39" t="str">
        <x:v>Native scan engine</x:v>
      </x:c>
      <x:c r="D6" s="39" t="str">
        <x:v>As an operator, I can discover repositories beneath registered roots without scanning common build or dependency folders.</x:v>
      </x:c>
      <x:c r="E6" s="39" t="str">
        <x:v>Local operator</x:v>
      </x:c>
      <x:c r="F6" s="39" t="str">
        <x:v>Local-only</x:v>
      </x:c>
      <x:c r="G6" s="39" t="str">
        <x:v>Root contains one or more Git repositories</x:v>
      </x:c>
      <x:c r="H6" s="39" t="str">
        <x:v>Native core</x:v>
      </x:c>
      <x:c r="I6" s="39" t="str">
        <x:v>Recursive discovery skips default ignored directories and returns canonical repository paths.</x:v>
      </x:c>
      <x:c r="J6" s="39" t="str">
        <x:v>Repositories are found without noisy dependency, build, cache, or editor folders entering the portfolio.</x:v>
      </x:c>
      <x:c r="K6" s="39" t="str">
        <x:v>src-tauri/src/core.rs:330-405 (default_ignore, discover_in_directory, discover_repositories); /Users/jakyeamos/Downloads/pronto_prd.md:272-274</x:v>
      </x:c>
      <x:c r="L6" s="39" t="str">
        <x:v>Rust regression test</x:v>
      </x:c>
      <x:c r="M6" s="39" t="str">
        <x:v>cargo test --manifest-path src-tauri/Cargo.toml</x:v>
      </x:c>
      <x:c r="N6" s="39" t="str">
        <x:v>Discovery behavior is exercised by the canonical repository/worktree fixture test; five Rust tests pass.</x:v>
      </x:c>
      <x:c r="O6" s="39" t="str">
        <x:v>Regression-Covered</x:v>
      </x:c>
      <x:c r="P6" s="39" t="str"/>
      <x:c r="Q6" s="39" t="str"/>
      <x:c r="R6" s="39" t="str"/>
      <x:c r="S6" s="39" t="str"/>
      <x:c r="T6" s="39" t="str">
        <x:v>Yes: fixture exercises recursive discovery.</x:v>
      </x:c>
      <x:c r="U6" s="39" t="str">
        <x:v>Native traversal is one focused boundary; provider discovery stays separate.</x:v>
      </x:c>
      <x:c r="V6" s="39" t="str">
        <x:v>src-tauri/src/core.rs:1602-1644; /Users/jakyeamos/Downloads/pronto_prd.md:272-274</x:v>
      </x:c>
      <x:c r="W6" s="39" t="str">
        <x:v>1</x:v>
      </x:c>
      <x:c r="X6" s="39" t="str">
        <x:v>d332573</x:v>
      </x:c>
      <x:c r="Y6" s="39" t="str">
        <x:v>Add configurable glob-pattern coverage in the provider/durable-state phase.</x:v>
      </x:c>
    </x:row>
    <x:row r="7" ht="70" customHeight="1">
      <x:c r="A7" s="51" t="str">
        <x:v>DISC-003</x:v>
      </x:c>
      <x:c r="B7" s="39" t="str">
        <x:v>Discovery</x:v>
      </x:c>
      <x:c r="C7" s="39" t="str">
        <x:v>Repository registry</x:v>
      </x:c>
      <x:c r="D7" s="39" t="str">
        <x:v>As an operator, I see one canonical repository record with linked worktrees attached.</x:v>
      </x:c>
      <x:c r="E7" s="39" t="str">
        <x:v>Local operator</x:v>
      </x:c>
      <x:c r="F7" s="39" t="str">
        <x:v>Local-only</x:v>
      </x:c>
      <x:c r="G7" s="39" t="str">
        <x:v>Repository has a linked worktree or duplicate path</x:v>
      </x:c>
      <x:c r="H7" s="39" t="str">
        <x:v>Desktop + native core</x:v>
      </x:c>
      <x:c r="I7" s="39" t="str">
        <x:v>Canonical paths deduplicate records and worktree paths attach to the parent repository snapshot.</x:v>
      </x:c>
      <x:c r="J7" s="39" t="str">
        <x:v>A worktree never masquerades as a second unrelated repository.</x:v>
      </x:c>
      <x:c r="K7" s="39" t="str">
        <x:v>src-tauri/src/core.rs:302-328, 600-620, 1062-1217; /Users/jakyeamos/Downloads/pronto_prd.md:276-282</x:v>
      </x:c>
      <x:c r="L7" s="39" t="str">
        <x:v>Rust regression test + serialized snapshot assertion</x:v>
      </x:c>
      <x:c r="M7" s="39" t="str">
        <x:v>cargo test --manifest-path src-tauri/Cargo.toml</x:v>
      </x:c>
      <x:c r="N7" s="39" t="str">
        <x:v>The fixture creates a linked worktree and asserts one repository, attached workspace, and no duplicate record.</x:v>
      </x:c>
      <x:c r="O7" s="39" t="str">
        <x:v>Regression-Covered</x:v>
      </x:c>
      <x:c r="P7" s="39" t="str"/>
      <x:c r="Q7" s="39" t="str"/>
      <x:c r="R7" s="39" t="str"/>
      <x:c r="S7" s="39" t="str">
        <x:v>Yes: canonical path/worktree regression test.</x:v>
      </x:c>
      <x:c r="T7" s="39" t="str">
        <x:v>Canonicalization is isolated from renderer state and preserves an auditable repository id.</x:v>
      </x:c>
      <x:c r="U7" s="39" t="str">
        <x:v>src-tauri/src/core.rs:1602-1644; /Users/jakyeamos/Downloads/pronto_prd.md:276-282</x:v>
      </x:c>
      <x:c r="V7" s="39" t="str">
        <x:v>1</x:v>
      </x:c>
      <x:c r="W7" s="39" t="str">
        <x:v>d332573</x:v>
      </x:c>
      <x:c r="X7" s="39" t="str">
        <x:v>Submodule promotion and symlink-root matrix remain for the discovery expansion.</x:v>
      </x:c>
      <x:c r="Y7" s="39"/>
    </x:row>
    <x:row r="8" ht="70" customHeight="1">
      <x:c r="A8" s="51" t="str">
        <x:v>DISC-004</x:v>
      </x:c>
      <x:c r="B8" s="39" t="str">
        <x:v>Discovery</x:v>
      </x:c>
      <x:c r="C8" s="39" t="str">
        <x:v>Privacy boundary</x:v>
      </x:c>
      <x:c r="D8" s="39" t="str">
        <x:v>As an operator, I can inspect repository state without exposing filenames or diff content in the portfolio snapshot.</x:v>
      </x:c>
      <x:c r="E8" s="39" t="str">
        <x:v>Local operator</x:v>
      </x:c>
      <x:c r="F8" s="39" t="str">
        <x:v>Local-only</x:v>
      </x:c>
      <x:c r="G8" s="39" t="str">
        <x:v>Repository has dirty or untracked files</x:v>
      </x:c>
      <x:c r="H8" s="39" t="str">
        <x:v>Desktop + CLI</x:v>
      </x:c>
      <x:c r="I8" s="39" t="str">
        <x:v>The snapshot exposes counts and aggregate line totals, not filenames, patch text, or source content.</x:v>
      </x:c>
      <x:c r="J8" s="39" t="str">
        <x:v>Portfolio evidence is useful for triage while remaining metadata-only.</x:v>
      </x:c>
      <x:c r="K8" s="39" t="str">
        <x:v>src-tauri/src/core.rs:32-188, 443-516; /Users/jakyeamos/Downloads/pronto_prd.md:314-328, 906-920</x:v>
      </x:c>
      <x:c r="L8" s="39" t="str">
        <x:v>Rust serialized snapshot assertion + source review</x:v>
      </x:c>
      <x:c r="M8" s="39" t="str">
        <x:v>cargo test --manifest-path src-tauri/Cargo.toml; pnpm cli:json</x:v>
      </x:c>
      <x:c r="N8" s="39" t="str">
        <x:v>Fixture assertions inspect serialized JSON and confirm no filename or diff payload is returned.</x:v>
      </x:c>
      <x:c r="O8" s="39" t="str">
        <x:v>Regression-Covered</x:v>
      </x:c>
      <x:c r="P8" s="39" t="str"/>
      <x:c r="Q8" s="39" t="str"/>
      <x:c r="R8" s="39" t="str"/>
      <x:c r="S8" s="39" t="str">
        <x:v>Yes: snapshot privacy assertion.</x:v>
      </x:c>
      <x:c r="T8" s="39" t="str">
        <x:v>Privacy is encoded at the data contract rather than hidden only in presentation.</x:v>
      </x:c>
      <x:c r="U8" s="39" t="str">
        <x:v>src-tauri/src/core.rs:1602-1644; /Users/jakyeamos/Downloads/pronto_prd.md:314-328</x:v>
      </x:c>
      <x:c r="V8" s="39" t="str">
        <x:v>1</x:v>
      </x:c>
      <x:c r="W8" s="39" t="str">
        <x:v>d332573</x:v>
      </x:c>
      <x:c r="X8" s="39" t="str">
        <x:v>Provider and AI payload previews still need their own explicit contract.</x:v>
      </x:c>
      <x:c r="Y8" s="39"/>
    </x:row>
    <x:row r="9" ht="70" customHeight="1">
      <x:c r="A9" s="51" t="str">
        <x:v>GIT-001</x:v>
      </x:c>
      <x:c r="B9" s="39" t="str">
        <x:v>Git state</x:v>
      </x:c>
      <x:c r="C9" s="39" t="str">
        <x:v>Repository detail / portfolio</x:v>
      </x:c>
      <x:c r="D9" s="39" t="str">
        <x:v>As an operator, I can see branch, upstream, dirty, and ahead/behind facts from Git.</x:v>
      </x:c>
      <x:c r="E9" s="39" t="str">
        <x:v>Local operator</x:v>
      </x:c>
      <x:c r="F9" s="39" t="str">
        <x:v>Local-only</x:v>
      </x:c>
      <x:c r="G9" s="39" t="str">
        <x:v>Repository has a current branch and optional upstream</x:v>
      </x:c>
      <x:c r="H9" s="39" t="str">
        <x:v>Desktop + CLI</x:v>
      </x:c>
      <x:c r="I9" s="39" t="str">
        <x:v>Structured porcelain status parsing produces current branch, upstream, dirty state, and ahead/behind facts.</x:v>
      </x:c>
      <x:c r="J9" s="39" t="str">
        <x:v>The view distinguishes clean, ahead, behind, and diverged without requiring a network fetch.</x:v>
      </x:c>
      <x:c r="K9" s="39" t="str">
        <x:v>src-tauri/src/core.rs:408-442, 562-598; /Users/jakyeamos/Downloads/pronto_prd.md:312-346</x:v>
      </x:c>
      <x:c r="L9" s="39" t="str">
        <x:v>Rust parser regression test</x:v>
      </x:c>
      <x:c r="M9" s="39" t="str">
        <x:v>cargo test --manifest-path src-tauri/Cargo.toml</x:v>
      </x:c>
      <x:c r="N9" s="39" t="str">
        <x:v>Porcelain branch and status fixture passes with upstream and ahead/behind assertions.</x:v>
      </x:c>
      <x:c r="O9" s="39" t="str">
        <x:v>Regression-Covered</x:v>
      </x:c>
      <x:c r="P9" s="39" t="str"/>
      <x:c r="Q9" s="39" t="str"/>
      <x:c r="R9" s="39" t="str"/>
      <x:c r="S9" s="39" t="str">
        <x:v>Yes: porcelain parsing test.</x:v>
      </x:c>
      <x:c r="T9" s="39" t="str">
        <x:v>Git parsing is kept in native core; UI only renders typed facts.</x:v>
      </x:c>
      <x:c r="U9" s="39" t="str">
        <x:v>src-tauri/src/core.rs:1528-1554; /Users/jakyeamos/Downloads/pronto_prd.md:312-346</x:v>
      </x:c>
      <x:c r="V9" s="39" t="str">
        <x:v>1</x:v>
      </x:c>
      <x:c r="W9" s="39" t="str">
        <x:v>d332573</x:v>
      </x:c>
      <x:c r="X9" s="39" t="str">
        <x:v>Add fetched-at evidence after fetch/provider refresh exists.</x:v>
      </x:c>
      <x:c r="Y9" s="39"/>
    </x:row>
    <x:row r="10" ht="70" customHeight="1">
      <x:c r="A10" s="51" t="str">
        <x:v>GIT-002</x:v>
      </x:c>
      <x:c r="B10" s="39" t="str">
        <x:v>Git state</x:v>
      </x:c>
      <x:c r="C10" s="39" t="str">
        <x:v>Portfolio row</x:v>
      </x:c>
      <x:c r="D10" s="39" t="str">
        <x:v>As an operator, I can see one aggregate dirty delta without filenames.</x:v>
      </x:c>
      <x:c r="E10" s="39" t="str">
        <x:v>Local operator</x:v>
      </x:c>
      <x:c r="F10" s="39" t="str">
        <x:v>Local-only</x:v>
      </x:c>
      <x:c r="G10" s="39" t="str">
        <x:v>Tracked staged/unstaged or countable untracked changes</x:v>
      </x:c>
      <x:c r="H10" s="39" t="str">
        <x:v>Desktop 1280×800</x:v>
      </x:c>
      <x:c r="I10" s="39" t="str">
        <x:v>Tracked numstat and safe untracked text counts combine into one aggregate delta and partial flag.</x:v>
      </x:c>
      <x:c r="J10" s="39" t="str">
        <x:v>The summary is compact, honest, and never double-counts tracked changes.</x:v>
      </x:c>
      <x:c r="K10" s="39" t="str">
        <x:v>src-tauri/src/core.rs:443-516, 1062-1217; src/renderer/src/components/PortfolioComponents.tsx:20-104; /Users/jakyeamos/Downloads/pronto_prd.md:314-328, 1147-1149</x:v>
      </x:c>
      <x:c r="L10" s="39" t="str">
        <x:v>Rust fixture + renderer source review</x:v>
      </x:c>
      <x:c r="M10" s="39" t="str">
        <x:v>cargo test --manifest-path src-tauri/Cargo.toml; pnpm build:web</x:v>
      </x:c>
      <x:c r="N10" s="39" t="str">
        <x:v>Fixture asserts `+3 / -0`; renderer maps totals to the row without file paths.</x:v>
      </x:c>
      <x:c r="O10" s="39" t="str">
        <x:v>Regression-Covered</x:v>
      </x:c>
      <x:c r="P10" s="39" t="str"/>
      <x:c r="Q10" s="39" t="str"/>
      <x:c r="R10" s="39" t="str"/>
      <x:c r="S10" s="39" t="str">
        <x:v>Yes: dirty aggregate fixture.</x:v>
      </x:c>
      <x:c r="T10" s="39" t="str">
        <x:v>Aggregate calculation remains native and bounded; no page-local duplicate formatter.</x:v>
      </x:c>
      <x:c r="U10" s="39" t="str">
        <x:v>src-tauri/src/core.rs:1602-1644; /Users/jakyeamos/Downloads/pronto_prd.md:314-328</x:v>
      </x:c>
      <x:c r="V10" s="39" t="str">
        <x:v>1</x:v>
      </x:c>
      <x:c r="W10" s="39" t="str">
        <x:v>d332573</x:v>
      </x:c>
      <x:c r="X10" s="39" t="str">
        <x:v>Add staged + unstaged + untracked matrix cases as scan coverage grows.</x:v>
      </x:c>
      <x:c r="Y10" s="39"/>
    </x:row>
    <x:row r="11" ht="70" customHeight="1">
      <x:c r="A11" s="51" t="str">
        <x:v>GIT-003</x:v>
      </x:c>
      <x:c r="B11" s="39" t="str">
        <x:v>Git state</x:v>
      </x:c>
      <x:c r="C11" s="39" t="str">
        <x:v>Native scan engine</x:v>
      </x:c>
      <x:c r="D11" s="39" t="str">
        <x:v>As an operator, I get a bounded result when untracked files are binary, too large, unreadable, or outside the repository.</x:v>
      </x:c>
      <x:c r="E11" s="39" t="str">
        <x:v>Local operator</x:v>
      </x:c>
      <x:c r="F11" s="39" t="str">
        <x:v>Local-only</x:v>
      </x:c>
      <x:c r="G11" s="39" t="str">
        <x:v>Untracked files include an unsafe-to-count case</x:v>
      </x:c>
      <x:c r="H11" s="39" t="str">
        <x:v>Native core</x:v>
      </x:c>
      <x:c r="I11" s="39" t="str">
        <x:v>Untracked counts are bounded, path-checked, and marked partial when content cannot be safely measured.</x:v>
      </x:c>
      <x:c r="J11" s="39" t="str">
        <x:v>Pronto reports uncertainty rather than hanging or inventing line counts.</x:v>
      </x:c>
      <x:c r="K11" s="39" t="str">
        <x:v>src-tauri/src/core.rs:459-504; /Users/jakyeamos/Downloads/pronto_prd.md:314-328, 319-324</x:v>
      </x:c>
      <x:c r="L11" s="39" t="str">
        <x:v>Source review + Rust numstat/binary test</x:v>
      </x:c>
      <x:c r="M11" s="39" t="str">
        <x:v>cargo test --manifest-path src-tauri/Cargo.toml</x:v>
      </x:c>
      <x:c r="N11" s="39" t="str">
        <x:v>Binary numstat is partial; bounded text counting and path escape checks are implemented.</x:v>
      </x:c>
      <x:c r="O11" s="39" t="str">
        <x:v>Regression-Covered</x:v>
      </x:c>
      <x:c r="P11" s="39" t="str"/>
      <x:c r="Q11" s="39" t="str"/>
      <x:c r="R11" s="39" t="str"/>
      <x:c r="S11" s="39" t="str">
        <x:v>Yes: binary/partial regression test.</x:v>
      </x:c>
      <x:c r="T11" s="39" t="str">
        <x:v>Safety checks are local and bounded; a future large-repo performance gate is separate.</x:v>
      </x:c>
      <x:c r="U11" s="39" t="str">
        <x:v>src-tauri/src/core.rs:1528-1554; /Users/jakyeamos/Downloads/pronto_prd.md:326-328</x:v>
      </x:c>
      <x:c r="V11" s="39" t="str">
        <x:v>1</x:v>
      </x:c>
      <x:c r="W11" s="39" t="str">
        <x:v>d332573</x:v>
      </x:c>
      <x:c r="X11" s="39" t="str">
        <x:v>Add a fixture for unreadable paths on each supported OS.</x:v>
      </x:c>
      <x:c r="Y11" s="39"/>
    </x:row>
    <x:row r="12" ht="70" customHeight="1">
      <x:c r="A12" s="51" t="str">
        <x:v>GIT-004</x:v>
      </x:c>
      <x:c r="B12" s="39" t="str">
        <x:v>Git state</x:v>
      </x:c>
      <x:c r="C12" s="39" t="str">
        <x:v>Attention queue</x:v>
      </x:c>
      <x:c r="D12" s="39" t="str">
        <x:v>As an operator, I am alerted when merge, rebase, cherry-pick, revert, or bisect state is present.</x:v>
      </x:c>
      <x:c r="E12" s="39" t="str">
        <x:v>Local operator</x:v>
      </x:c>
      <x:c r="F12" s="39" t="str">
        <x:v>Local-only</x:v>
      </x:c>
      <x:c r="G12" s="39" t="str">
        <x:v>Git operation marker exists</x:v>
      </x:c>
      <x:c r="H12" s="39" t="str">
        <x:v>Desktop + native core</x:v>
      </x:c>
      <x:c r="I12" s="39" t="str">
        <x:v>Interrupted operation markers become a condition with evidence; no abort, continue, reset, or conflict-resolution action is exposed.</x:v>
      </x:c>
      <x:c r="J12" s="39" t="str">
        <x:v>The queue calls out the operation and leaves remediation under explicit user control.</x:v>
      </x:c>
      <x:c r="K12" s="39" t="str">
        <x:v>src-tauri/src/core.rs:518-544, 853-1060; src/renderer/src/components/PortfolioComponents.tsx:106-181; /Users/jakyeamos/Downloads/pronto_prd.md:328-330, 1151-1153</x:v>
      </x:c>
      <x:c r="L12" s="39" t="str">
        <x:v>Rust marker regression test + UI source review</x:v>
      </x:c>
      <x:c r="M12" s="39" t="str">
        <x:v>cargo test --manifest-path src-tauri/Cargo.toml; pnpm build:web</x:v>
      </x:c>
      <x:c r="N12" s="39" t="str">
        <x:v>Merge marker fixture passes; action surface is read-only in this slice.</x:v>
      </x:c>
      <x:c r="O12" s="39" t="str">
        <x:v>Regression-Covered</x:v>
      </x:c>
      <x:c r="P12" s="39" t="str"/>
      <x:c r="Q12" s="39" t="str"/>
      <x:c r="R12" s="39" t="str"/>
      <x:c r="S12" s="39" t="str">
        <x:v>Yes: merge marker regression test.</x:v>
      </x:c>
      <x:c r="T12" s="39" t="str">
        <x:v>Action prohibition is enforced by omission and structured command boundary.</x:v>
      </x:c>
      <x:c r="U12" s="39" t="str">
        <x:v>src-tauri/src/core.rs:1556-1600; /Users/jakyeamos/Downloads/pronto_prd.md:328-330</x:v>
      </x:c>
      <x:c r="V12" s="39" t="str">
        <x:v>1</x:v>
      </x:c>
      <x:c r="W12" s="39" t="str">
        <x:v>d332573</x:v>
      </x:c>
      <x:c r="X12" s="39" t="str">
        <x:v>Add rebase/cherry-pick/revert/bisect fixtures before action work begins.</x:v>
      </x:c>
      <x:c r="Y12" s="39"/>
    </x:row>
    <x:row r="13" ht="70" customHeight="1">
      <x:c r="A13" s="51" t="str">
        <x:v>GIT-005</x:v>
      </x:c>
      <x:c r="B13" s="39" t="str">
        <x:v>Branch intelligence</x:v>
      </x:c>
      <x:c r="C13" s="39" t="str">
        <x:v>Repository detail</x:v>
      </x:c>
      <x:c r="D13" s="39" t="str">
        <x:v>As an operator, I can see branch role, target, confidence, and local integration state.</x:v>
      </x:c>
      <x:c r="E13" s="39" t="str">
        <x:v>Local operator</x:v>
      </x:c>
      <x:c r="F13" s="39" t="str">
        <x:v>Local-only</x:v>
      </x:c>
      <x:c r="G13" s="39" t="str">
        <x:v>Branch list and default branch are available</x:v>
      </x:c>
      <x:c r="H13" s="39" t="str">
        <x:v>Desktop + native core</x:v>
      </x:c>
      <x:c r="I13" s="39" t="str">
        <x:v>Branch naming and ancestry heuristics produce role/target evidence and integration eligibility or blockers.</x:v>
      </x:c>
      <x:c r="J13" s="39" t="str">
        <x:v>The UI shows a deterministic local signal rather than an opaque AI health score.</x:v>
      </x:c>
      <x:c r="K13" s="39" t="str">
        <x:v>src-tauri/src/core.rs:622-745, 1062-1217; src/renderer/src/components/Drawers.tsx:22-171; /Users/jakyeamos/Downloads/pronto_prd.md:439-468</x:v>
      </x:c>
      <x:c r="L13" s="39" t="str">
        <x:v>Rust fixture/source review + build</x:v>
      </x:c>
      <x:c r="M13" s="39" t="str">
        <x:v>cargo test --manifest-path src-tauri/Cargo.toml; pnpm build:web</x:v>
      </x:c>
      <x:c r="N13" s="39" t="str">
        <x:v>Branch role and target logic are implemented and serialized; full provider-aware confidence remains deferred.</x:v>
      </x:c>
      <x:c r="O13" s="39" t="str">
        <x:v>Regression-Covered</x:v>
      </x:c>
      <x:c r="P13" s="39" t="str"/>
      <x:c r="Q13" s="39" t="str"/>
      <x:c r="R13" s="39" t="str"/>
      <x:c r="S13" s="39" t="str">
        <x:v>Partial branch fixture coverage; no standalone regression yet.</x:v>
      </x:c>
      <x:c r="T13" s="39" t="str">
        <x:v>Kept within scan domain; provider evidence is a later adapter.</x:v>
      </x:c>
      <x:c r="U13" s="39" t="str">
        <x:v>src-tauri/src/core.rs:622-745; /Users/jakyeamos/Downloads/pronto_prd.md:439-468</x:v>
      </x:c>
      <x:c r="V13" s="39" t="str">
        <x:v>1</x:v>
      </x:c>
      <x:c r="W13" s="39" t="str">
        <x:v>d332573</x:v>
      </x:c>
      <x:c r="X13" s="39" t="str">
        <x:v>Add dedicated integration-state fixture matrix and user correction persistence.</x:v>
      </x:c>
      <x:c r="Y13" s="39"/>
    </x:row>
    <x:row r="14" ht="70" customHeight="1">
      <x:c r="A14" s="51" t="str">
        <x:v>GIT-006</x:v>
      </x:c>
      <x:c r="B14" s="39" t="str">
        <x:v>Freshness</x:v>
      </x:c>
      <x:c r="C14" s="39" t="str">
        <x:v>Repository detail</x:v>
      </x:c>
      <x:c r="D14" s="39" t="str">
        <x:v>As an operator, I can tell that local scan does not imply remote freshness.</x:v>
      </x:c>
      <x:c r="E14" s="39" t="str">
        <x:v>Local operator</x:v>
      </x:c>
      <x:c r="F14" s="39" t="str">
        <x:v>Local-only</x:v>
      </x:c>
      <x:c r="G14" s="39" t="str">
        <x:v>No Pronto fetch has occurred</x:v>
      </x:c>
      <x:c r="H14" s="39" t="str">
        <x:v>Desktop + native core</x:v>
      </x:c>
      <x:c r="I14" s="39" t="str">
        <x:v>The snapshot reports a local scan time and a remote freshness boundary without issuing an implicit fetch.</x:v>
      </x:c>
      <x:c r="J14" s="39" t="str">
        <x:v>A stale or unknown remote state is not presented as current.</x:v>
      </x:c>
      <x:c r="K14" s="39" t="str">
        <x:v>src-tauri/src/core.rs:746-799, 1062-1217; /Users/jakyeamos/Downloads/pronto_prd.md:341-350</x:v>
      </x:c>
      <x:c r="L14" s="39" t="str">
        <x:v>Source review + CLI smoke</x:v>
      </x:c>
      <x:c r="M14" s="39" t="str">
        <x:v>pnpm cli:json</x:v>
      </x:c>
      <x:c r="N14" s="39" t="str">
        <x:v>CLI reports local snapshot data; no fetch command is invoked by refresh.</x:v>
      </x:c>
      <x:c r="O14" s="39" t="str">
        <x:v>Verified</x:v>
      </x:c>
      <x:c r="P14" s="39" t="str"/>
      <x:c r="Q14" s="39" t="str"/>
      <x:c r="R14" s="39" t="str"/>
      <x:c r="S14" s="39" t="str">
        <x:v>No: behavior is verified by command path and source review.</x:v>
      </x:c>
      <x:c r="T14" s="39" t="str">
        <x:v>Freshness fields are explicit even while provider/fetch adapters are unavailable.</x:v>
      </x:c>
      <x:c r="U14" s="39" t="str">
        <x:v>src-tauri/src/core.rs:746-799; /Users/jakyeamos/Downloads/pronto_prd.md:341-350</x:v>
      </x:c>
      <x:c r="V14" s="39" t="str">
        <x:v>1</x:v>
      </x:c>
      <x:c r="W14" s="39" t="str">
        <x:v>d332573</x:v>
      </x:c>
      <x:c r="X14" s="39" t="str">
        <x:v>Implement fetch freshness and policy controls in Phase 2.</x:v>
      </x:c>
      <x:c r="Y14" s="39"/>
    </x:row>
    <x:row r="15" ht="70" customHeight="1">
      <x:c r="A15" s="51" t="str">
        <x:v>COND-001</x:v>
      </x:c>
      <x:c r="B15" s="39" t="str">
        <x:v>Conditions</x:v>
      </x:c>
      <x:c r="C15" s="39" t="str">
        <x:v>Attention queue</x:v>
      </x:c>
      <x:c r="D15" s="39" t="str">
        <x:v>As an operator, I can see conditions ordered by deterministic priority with evidence.</x:v>
      </x:c>
      <x:c r="E15" s="39" t="str">
        <x:v>Local operator</x:v>
      </x:c>
      <x:c r="F15" s="39" t="str">
        <x:v>Local-only</x:v>
      </x:c>
      <x:c r="G15" s="39" t="str">
        <x:v>Repository snapshot contains zero or more conditions</x:v>
      </x:c>
      <x:c r="H15" s="39" t="str">
        <x:v>Desktop 1280×800</x:v>
      </x:c>
      <x:c r="I15" s="39" t="str">
        <x:v>Conditions are built from facts, sorted by priority, and include rule/evidence/missing-fact metadata.</x:v>
      </x:c>
      <x:c r="J15" s="39" t="str">
        <x:v>Every item answers what happened and why without a subjective numeric score.</x:v>
      </x:c>
      <x:c r="K15" s="39" t="str">
        <x:v>src-tauri/src/core.rs:800-1060; src/renderer/src/components/PortfolioComponents.tsx:106-181; /Users/jakyeamos/Downloads/pronto_prd.md:374-405</x:v>
      </x:c>
      <x:c r="L15" s="39" t="str">
        <x:v>Rust condition ordering test + renderer build</x:v>
      </x:c>
      <x:c r="M15" s="39" t="str">
        <x:v>cargo test --manifest-path src-tauri/Cargo.toml; pnpm build:web</x:v>
      </x:c>
      <x:c r="N15" s="39" t="str">
        <x:v>Fixture asserts condition order and evidence; queue groups rows by repository.</x:v>
      </x:c>
      <x:c r="O15" s="39" t="str">
        <x:v>Regression-Covered</x:v>
      </x:c>
      <x:c r="P15" s="39" t="str"/>
      <x:c r="Q15" s="39" t="str"/>
      <x:c r="R15" s="39" t="str"/>
      <x:c r="S15" s="39" t="str">
        <x:v>Yes: condition-order assertion.</x:v>
      </x:c>
      <x:c r="T15" s="39" t="str">
        <x:v>Condition builder is a single native rule boundary; renderer has shared pills and drawers.</x:v>
      </x:c>
      <x:c r="U15" s="39" t="str">
        <x:v>src-tauri/src/core.rs:1602-1644; /Users/jakyeamos/Downloads/pronto_prd.md:374-405</x:v>
      </x:c>
      <x:c r="V15" s="39" t="str">
        <x:v>1</x:v>
      </x:c>
      <x:c r="W15" s="39" t="str">
        <x:v>d332573</x:v>
      </x:c>
      <x:c r="X15" s="39" t="str">
        <x:v>Add provider-backed conditions only after permission/freshness contracts exist.</x:v>
      </x:c>
      <x:c r="Y15" s="39"/>
    </x:row>
    <x:row r="16" ht="70" customHeight="1">
      <x:c r="A16" s="51" t="str">
        <x:v>COND-002</x:v>
      </x:c>
      <x:c r="B16" s="39" t="str">
        <x:v>Conditions</x:v>
      </x:c>
      <x:c r="C16" s="39" t="str">
        <x:v>Evidence drawer</x:v>
      </x:c>
      <x:c r="D16" s="39" t="str">
        <x:v>As an operator, I can mark a condition expected without calling it resolved.</x:v>
      </x:c>
      <x:c r="E16" s="39" t="str">
        <x:v>Local operator</x:v>
      </x:c>
      <x:c r="F16" s="39" t="str">
        <x:v>Local-only</x:v>
      </x:c>
      <x:c r="G16" s="39" t="str">
        <x:v>Condition has a stable evidence fingerprint</x:v>
      </x:c>
      <x:c r="H16" s="39" t="str">
        <x:v>Desktop 1280×800</x:v>
      </x:c>
      <x:c r="I16" s="39" t="str">
        <x:v>Expected state is persisted against a fingerprint and reappears when material evidence changes.</x:v>
      </x:c>
      <x:c r="J16" s="39" t="str">
        <x:v>Expected conditions leave the default queue while the underlying state remains visible in the expected view.</x:v>
      </x:c>
      <x:c r="K16" s="39" t="str">
        <x:v>src-tauri/src/core.rs:809-851, 1360-1408; src/renderer/src/App.tsx:151-167; /Users/jakyeamos/Downloads/pronto_prd.md:405-413</x:v>
      </x:c>
      <x:c r="L16" s="39" t="str">
        <x:v>Rust persistence regression + typed invoke source review</x:v>
      </x:c>
      <x:c r="M16" s="39" t="str">
        <x:v>cargo test --manifest-path src-tauri/Cargo.toml; pnpm typecheck</x:v>
      </x:c>
      <x:c r="N16" s="39" t="str">
        <x:v>Expected fingerprint assertions pass; renderer sends snake_case repository_id and condition_id arguments.</x:v>
      </x:c>
      <x:c r="O16" s="39" t="str">
        <x:v>Regression-Covered</x:v>
      </x:c>
      <x:c r="P16" s="39" t="str"/>
      <x:c r="Q16" s="39" t="str"/>
      <x:c r="R16" s="39" t="str"/>
      <x:c r="S16" s="39" t="str">
        <x:v>Yes: expected fingerprint persistence test.</x:v>
      </x:c>
      <x:c r="T16" s="39" t="str">
        <x:v>Expected-state mutation is a narrow command and does not broaden into action execution.</x:v>
      </x:c>
      <x:c r="U16" s="39" t="str">
        <x:v>src-tauri/src/core.rs:1602-1644; /Users/jakyeamos/Downloads/pronto_prd.md:405-413</x:v>
      </x:c>
      <x:c r="V16" s="39" t="str">
        <x:v>1</x:v>
      </x:c>
      <x:c r="W16" s="39" t="str">
        <x:v>d332573</x:v>
      </x:c>
      <x:c r="X16" s="39" t="str">
        <x:v>Add UI interaction verification once the Tauri shell is launched.</x:v>
      </x:c>
      <x:c r="Y16" s="39"/>
    </x:row>
    <x:row r="17" ht="70" customHeight="1">
      <x:c r="A17" s="51" t="str">
        <x:v>AUD-001</x:v>
      </x:c>
      <x:c r="B17" s="39" t="str">
        <x:v>History</x:v>
      </x:c>
      <x:c r="C17" s="39" t="str">
        <x:v>Timeline</x:v>
      </x:c>
      <x:c r="D17" s="39" t="str">
        <x:v>As an operator, I can review meaningful transitions without a scan for every unchanged state.</x:v>
      </x:c>
      <x:c r="E17" s="39" t="str">
        <x:v>Local operator</x:v>
      </x:c>
      <x:c r="F17" s="39" t="str">
        <x:v>Local-only</x:v>
      </x:c>
      <x:c r="G17" s="39" t="str">
        <x:v>Repository is scanned repeatedly</x:v>
      </x:c>
      <x:c r="H17" s="39" t="str">
        <x:v>Desktop + native core</x:v>
      </x:c>
      <x:c r="I17" s="39" t="str">
        <x:v>Transition fingerprints suppress duplicate unchanged events and retain bounded history.</x:v>
      </x:c>
      <x:c r="J17" s="39" t="str">
        <x:v>Timeline shows meaningful change, not noise.</x:v>
      </x:c>
      <x:c r="K17" s="39" t="str">
        <x:v>src-tauri/src/core.rs:1220-1320; src/renderer/src/components/PortfolioComponents.tsx:183-215; /Users/jakyeamos/Downloads/pronto_prd.md:699-717</x:v>
      </x:c>
      <x:c r="L17" s="39" t="str">
        <x:v>Rust repeated-scan regression</x:v>
      </x:c>
      <x:c r="M17" s="39" t="str">
        <x:v>cargo test --manifest-path src-tauri/Cargo.toml</x:v>
      </x:c>
      <x:c r="N17" s="39" t="str">
        <x:v>Repeated unchanged scans do not add duplicate events; changed state adds one transition event.</x:v>
      </x:c>
      <x:c r="O17" s="39" t="str">
        <x:v>Regression-Covered</x:v>
      </x:c>
      <x:c r="P17" s="39" t="str"/>
      <x:c r="Q17" s="39" t="str"/>
      <x:c r="R17" s="39" t="str"/>
      <x:c r="S17" s="39" t="str">
        <x:v>Yes: transition-only persistence regression.</x:v>
      </x:c>
      <x:c r="T17" s="39" t="str">
        <x:v>History logic is isolated from current state and prunes to configured bounds.</x:v>
      </x:c>
      <x:c r="U17" s="39" t="str">
        <x:v>src-tauri/src/core.rs:1650-1728; /Users/jakyeamos/Downloads/pronto_prd.md:699-717</x:v>
      </x:c>
      <x:c r="V17" s="39" t="str">
        <x:v>1</x:v>
      </x:c>
      <x:c r="W17" s="39" t="str">
        <x:v>d332573</x:v>
      </x:c>
      <x:c r="X17" s="39" t="str">
        <x:v>Expose retention configuration and current-state independence in Phase 2.</x:v>
      </x:c>
      <x:c r="Y17" s="39"/>
    </x:row>
    <x:row r="18" ht="70" customHeight="1">
      <x:c r="A18" s="51" t="str">
        <x:v>PERSIST-001</x:v>
      </x:c>
      <x:c r="B18" s="39" t="str">
        <x:v>Persistence</x:v>
      </x:c>
      <x:c r="C18" s="39" t="str">
        <x:v>Versioned SQLite registry</x:v>
      </x:c>
      <x:c r="D18" s="39" t="str">
        <x:v>As an operator, I can close and reopen Pronto without losing registered roots or current snapshots.</x:v>
      </x:c>
      <x:c r="E18" s="39" t="str">
        <x:v>Local operator</x:v>
      </x:c>
      <x:c r="F18" s="39" t="str">
        <x:v>Local-only</x:v>
      </x:c>
      <x:c r="G18" s="39" t="str">
        <x:v>Platform data directory is writable</x:v>
      </x:c>
      <x:c r="H18" s="39" t="str">
        <x:v>Native core</x:v>
      </x:c>
      <x:c r="I18" s="39" t="str">
        <x:v>Registry state is loaded from a versioned SQLite database under the platform data directory and saved in transactions; a legacy JSON registry is imported non-destructively when present.</x:v>
      </x:c>
      <x:c r="J18" s="39" t="str">
        <x:v>Persistence is local and recoverable without a server account.</x:v>
      </x:c>
      <x:c r="K18" s="39" t="str">
        <x:v>src-tauri/src/core.rs:214-545, 1621-1655, 2006-2090; /Users/jakyeamos/Downloads/pronto_prd.md:926-954</x:v>
      </x:c>
      <x:c r="L18" s="39" t="str">
        <x:v>Rust persistence regression + source review</x:v>
      </x:c>
      <x:c r="M18" s="39" t="str">
        <x:v>cargo test --manifest-path src-tauri/Cargo.toml</x:v>
      </x:c>
      <x:c r="N18" s="39" t="str">
        <x:v>Six Rust tests cover transactional persistence, transition history, schema metadata, and legacy JSON migration.</x:v>
      </x:c>
      <x:c r="O18" s="39" t="str">
        <x:v>Regression-Covered</x:v>
      </x:c>
      <x:c r="P18" s="39" t="str"/>
      <x:c r="Q18" s="39" t="str"/>
      <x:c r="R18" s="39" t="str"/>
      <x:c r="S18" s="39" t="str">
        <x:v>Yes: SQLite persistence and legacy migration tests.</x:v>
      </x:c>
      <x:c r="T18" s="39" t="str">
        <x:v>The schema is versioned, uses separate roots/repositories/expected/events tables, and keeps complex snapshot payloads behind the existing Rust contract.</x:v>
      </x:c>
      <x:c r="U18" s="39" t="str">
        <x:v>src-tauri/src/core.rs:242-545, 2006-2090; /Users/jakyeamos/Downloads/pronto_prd.md:936-954</x:v>
      </x:c>
      <x:c r="V18" s="39" t="str">
        <x:v>1</x:v>
      </x:c>
      <x:c r="W18" s="39" t="str">
        <x:v>d332573</x:v>
      </x:c>
      <x:c r="X18" s="39" t="str">
        <x:v>Add explicit schema migration steps before introducing schema version 2 and verify crash recovery on the target desktop runtime.</x:v>
      </x:c>
      <x:c r="Y18" s="39"/>
    </x:row>
    <x:row r="19" ht="70" customHeight="1">
      <x:c r="A19" s="51" t="str">
        <x:v>UI-001</x:v>
      </x:c>
      <x:c r="B19" s="39" t="str">
        <x:v>Command center</x:v>
      </x:c>
      <x:c r="C19" s="39" t="str">
        <x:v>Portfolio dashboard</x:v>
      </x:c>
      <x:c r="D19" s="39" t="str">
        <x:v>As an operator, I open to a portfolio-first command center.</x:v>
      </x:c>
      <x:c r="E19" s="39" t="str">
        <x:v>Local operator</x:v>
      </x:c>
      <x:c r="F19" s="39" t="str">
        <x:v>Local-only</x:v>
      </x:c>
      <x:c r="G19" s="39" t="str">
        <x:v>Snapshot loaded or empty registry</x:v>
      </x:c>
      <x:c r="H19" s="39" t="str">
        <x:v>Desktop 1280×800</x:v>
      </x:c>
      <x:c r="I19" s="39" t="str">
        <x:v>The primary surface presents attention, portfolio rows, timeline, privacy boundary, and explicit unavailable states.</x:v>
      </x:c>
      <x:c r="J19" s="39" t="str">
        <x:v>I can understand the whole portfolio before opening a repository detail drawer.</x:v>
      </x:c>
      <x:c r="K19" s="39" t="str">
        <x:v>src/renderer/src/App.tsx:57-432; src/renderer/src/styles.css:1-1404; /Users/jakyeamos/Downloads/pronto_prd.md:215-227, 356-380, 859-900</x:v>
      </x:c>
      <x:c r="L19" s="39" t="str">
        <x:v>Typecheck/build + live desktop review</x:v>
      </x:c>
      <x:c r="M19" s="39" t="str">
        <x:v>pnpm typecheck; pnpm build:web; pnpm dev</x:v>
      </x:c>
      <x:c r="N19" s="39" t="str">
        <x:v>Renderer build passes; live desktop interaction and visual fidelity still require environment verification.</x:v>
      </x:c>
      <x:c r="O19" s="39" t="str">
        <x:v>Needs-Environment</x:v>
      </x:c>
      <x:c r="P19" s="39" t="str"/>
      <x:c r="Q19" s="39" t="str">
        <x:v>Environment</x:v>
      </x:c>
      <x:c r="R19" s="39" t="str">
        <x:v>Desktop window interaction is not proven by static build output.</x:v>
      </x:c>
      <x:c r="S19" s="39" t="str">
        <x:v>Renderer split by responsibility after source-size gate; shared primitives are reused.</x:v>
      </x:c>
      <x:c r="T19" s="39" t="str">
        <x:v>No; static presentation is covered by build gates.</x:v>
      </x:c>
      <x:c r="U19" s="39" t="str">
        <x:v>UI components are under 500 nonblank lines after the quality-gate split.</x:v>
      </x:c>
      <x:c r="V19" s="39" t="str">
        <x:v>src/renderer/src/App.tsx:57-432; /Users/jakyeamos/Downloads/pronto_prd.md:356-380</x:v>
      </x:c>
      <x:c r="W19" s="39" t="str">
        <x:v>1</x:v>
      </x:c>
      <x:c r="X19" s="39" t="str">
        <x:v>d332573</x:v>
      </x:c>
      <x:c r="Y19" s="39" t="str">
        <x:v>Run a human visual pass in the Tauri window and record screenshots/interaction outcomes.</x:v>
      </x:c>
    </x:row>
    <x:row r="20" ht="70" customHeight="1">
      <x:c r="A20" s="51" t="str">
        <x:v>UI-002</x:v>
      </x:c>
      <x:c r="B20" s="39" t="str">
        <x:v>Command center</x:v>
      </x:c>
      <x:c r="C20" s="39" t="str">
        <x:v>Attention queue / drawers</x:v>
      </x:c>
      <x:c r="D20" s="39" t="str">
        <x:v>As an operator, I can expand a repository condition and inspect its evidence.</x:v>
      </x:c>
      <x:c r="E20" s="39" t="str">
        <x:v>Local operator</x:v>
      </x:c>
      <x:c r="F20" s="39" t="str">
        <x:v>Local-only</x:v>
      </x:c>
      <x:c r="G20" s="39" t="str">
        <x:v>Conditions or an empty registry</x:v>
      </x:c>
      <x:c r="H20" s="39" t="str">
        <x:v>Desktop 1280×800</x:v>
      </x:c>
      <x:c r="I20" s="39" t="str">
        <x:v>Queue rows group by repository, open evidence details, and render an empty state when nothing is actionable.</x:v>
      </x:c>
      <x:c r="J20" s="39" t="str">
        <x:v>I can move from a concise fact to evidence without losing portfolio context.</x:v>
      </x:c>
      <x:c r="K20" s="39" t="str">
        <x:v>src/renderer/src/components/PortfolioComponents.tsx:106-181; src/renderer/src/components/Drawers.tsx:22-273; /Users/jakyeamos/Downloads/pronto_prd.md:386-413, 419-433</x:v>
      </x:c>
      <x:c r="L20" s="39" t="str">
        <x:v>Typecheck/build + live desktop review</x:v>
      </x:c>
      <x:c r="M20" s="39" t="str">
        <x:v>pnpm typecheck; pnpm build:web; click a condition in the Tauri window</x:v>
      </x:c>
      <x:c r="N20" s="39" t="str">
        <x:v>Component source and build are green; live click/keyboard behavior is not yet exercised.</x:v>
      </x:c>
      <x:c r="O20" s="39" t="str">
        <x:v>Needs-Environment</x:v>
      </x:c>
      <x:c r="P20" s="39" t="str"/>
      <x:c r="Q20" s="39" t="str">
        <x:v>Environment</x:v>
      </x:c>
      <x:c r="R20" s="39" t="str">
        <x:v>Renderer-only checks cannot prove window focus, drawer layering, or keyboard behavior.</x:v>
      </x:c>
      <x:c r="S20" s="39" t="str">
        <x:v>Shared detail/evidence drawers and empty-state component are present.</x:v>
      </x:c>
      <x:c r="T20" s="39" t="str">
        <x:v>No; static UI behavior uses build verification.</x:v>
      </x:c>
      <x:c r="U20" s="39" t="str">
        <x:v>Drawer flow is a contained renderer concern.</x:v>
      </x:c>
      <x:c r="V20" s="39" t="str">
        <x:v>src/renderer/src/components/Drawers.tsx:22-273; /Users/jakyeamos/Downloads/pronto_prd.md:386-413</x:v>
      </x:c>
      <x:c r="W20" s="39" t="str">
        <x:v>1</x:v>
      </x:c>
      <x:c r="X20" s="39" t="str">
        <x:v>d332573</x:v>
      </x:c>
      <x:c r="Y20" s="39" t="str">
        <x:v>Verify evidence drawer content, expected-state action, and close behavior manually.</x:v>
      </x:c>
    </x:row>
    <x:row r="21" ht="70" customHeight="1">
      <x:c r="A21" s="51" t="str">
        <x:v>UI-003</x:v>
      </x:c>
      <x:c r="B21" s="39" t="str">
        <x:v>Boundaries</x:v>
      </x:c>
      <x:c r="C21" s="39" t="str">
        <x:v>Unavailable provider/release states</x:v>
      </x:c>
      <x:c r="D21" s="39" t="str">
        <x:v>As an operator, I can tell what Pronto cannot currently verify instead of seeing a fake passing state.</x:v>
      </x:c>
      <x:c r="E21" s="39" t="str">
        <x:v>Local operator</x:v>
      </x:c>
      <x:c r="F21" s="39" t="str">
        <x:v>No provider auth</x:v>
      </x:c>
      <x:c r="G21" s="39" t="str">
        <x:v>Provider/release data unavailable</x:v>
      </x:c>
      <x:c r="H21" s="39" t="str">
        <x:v>Desktop 1280×800</x:v>
      </x:c>
      <x:c r="I21" s="39" t="str">
        <x:v>The renderer labels provider refresh, remote catalog, PR, release, process, and AI capabilities as unavailable/deferred.</x:v>
      </x:c>
      <x:c r="J21" s="39" t="str">
        <x:v>Missing permission or unimplemented capability is explicit and never silently inferred as healthy.</x:v>
      </x:c>
      <x:c r="K21" s="39" t="str">
        <x:v>src/renderer/src/App.tsx:180-309; /Users/jakyeamos/Downloads/pronto_prd.md:151-159, 304-306, 605-607, 1121-1133</x:v>
      </x:c>
      <x:c r="L21" s="39" t="str">
        <x:v>Build + source review</x:v>
      </x:c>
      <x:c r="M21" s="39" t="str">
        <x:v>pnpm build:web; pnpm build</x:v>
      </x:c>
      <x:c r="N21" s="39" t="str">
        <x:v>Unavailable boundary is compiled into the app; provider-backed runtime is intentionally not claimed.</x:v>
      </x:c>
      <x:c r="O21" s="39" t="str">
        <x:v>Needs-Environment</x:v>
      </x:c>
      <x:c r="P21" s="39" t="str"/>
      <x:c r="Q21" s="39" t="str">
        <x:v>Environment</x:v>
      </x:c>
      <x:c r="R21" s="39" t="str">
        <x:v>Provider credentials and network authority are not available or requested for this slice.</x:v>
      </x:c>
      <x:c r="S21" s="39" t="str">
        <x:v>UI states are explicit and kept outside local scan truth.</x:v>
      </x:c>
      <x:c r="T21" s="39" t="str">
        <x:v>No; boundary is represented by source and build.</x:v>
      </x:c>
      <x:c r="U21" s="39" t="str">
        <x:v>No provider adapter abstraction is added until its permission contract is defined.</x:v>
      </x:c>
      <x:c r="V21" s="39" t="str">
        <x:v>docs/implementation-plan.md; /Users/jakyeamos/Downloads/pronto_prd.md:304-306, 1121-1133</x:v>
      </x:c>
      <x:c r="W21" s="39" t="str">
        <x:v>1</x:v>
      </x:c>
      <x:c r="X21" s="39" t="str">
        <x:v>d332573</x:v>
      </x:c>
      <x:c r="Y21" s="39" t="str">
        <x:v>Provider install/auth and refresh evidence are Phase 2 work.</x:v>
      </x:c>
    </x:row>
    <x:row r="22" ht="70" customHeight="1">
      <x:c r="A22" s="51" t="str">
        <x:v>UI-004</x:v>
      </x:c>
      <x:c r="B22" s="39" t="str">
        <x:v>Navigation</x:v>
      </x:c>
      <x:c r="C22" s="39" t="str">
        <x:v>Local and deferred navigation</x:v>
      </x:c>
      <x:c r="D22" s="39" t="str">
        <x:v>As an operator, I can tell which workspace surfaces are available locally and which are deferred.</x:v>
      </x:c>
      <x:c r="E22" s="39" t="str">
        <x:v>Local operator</x:v>
      </x:c>
      <x:c r="F22" s="39" t="str">
        <x:v>Local-only / no provider auth</x:v>
      </x:c>
      <x:c r="G22" s="39" t="str">
        <x:v>Snapshot loaded or empty registry</x:v>
      </x:c>
      <x:c r="H22" s="39" t="str">
        <x:v>Desktop 1280×800</x:v>
      </x:c>
      <x:c r="I22" s="39" t="str">
        <x:v>Command center, Activity, and Settings render local content; Products, Groups, and Remote catalog render explicit deferred boundaries.</x:v>
      </x:c>
      <x:c r="J22" s="39" t="str">
        <x:v>Navigation never implies provider data or hides an unimplemented capability.</x:v>
      </x:c>
      <x:c r="K22" s="39" t="str">
        <x:v>src/renderer/src/App.tsx; src/renderer/src/components/WorkspaceSurfaces.tsx; /Users/jakyeamos/Downloads/pronto_prd.md:215-227, 304-306</x:v>
      </x:c>
      <x:c r="L22" s="39" t="str">
        <x:v>Typecheck/build + live desktop review</x:v>
      </x:c>
      <x:c r="M22" s="39" t="str">
        <x:v>pnpm typecheck; pnpm build:web; click each navigation item in the Tauri window</x:v>
      </x:c>
      <x:c r="N22" s="39" t="str">
        <x:v>Renderer source and build are green; live navigation and deferred-copy review remain environment checks.</x:v>
      </x:c>
      <x:c r="O22" s="39" t="str">
        <x:v>Needs-Environment</x:v>
      </x:c>
      <x:c r="P22" s="39" t="str"/>
      <x:c r="Q22" s="39" t="str">
        <x:v>Environment</x:v>
      </x:c>
      <x:c r="R22" s="39" t="str">
        <x:v>The live Tauri window and interaction state are not exercised by static checks.</x:v>
      </x:c>
      <x:c r="S22" s="39" t="str">
        <x:v>Navigation now maps each item to a truthful local or deferred surface.</x:v>
      </x:c>
      <x:c r="T22" s="39" t="str">
        <x:v>No; static presentation is covered by build gates.</x:v>
      </x:c>
      <x:c r="U22" s="39" t="str">
        <x:v>Navigation boundaries remain data-independent and do not add provider state.</x:v>
      </x:c>
      <x:c r="V22" s="39" t="str">
        <x:v>src/renderer/src/App.tsx; src/renderer/src/components/WorkspaceSurfaces.tsx; /Users/jakyeamos/Downloads/pronto_prd.md:304-306</x:v>
      </x:c>
      <x:c r="W22" s="39" t="str">
        <x:v>1</x:v>
      </x:c>
      <x:c r="X22" s="39" t="str">
        <x:v>d332573</x:v>
      </x:c>
      <x:c r="Y22" s="39" t="str">
        <x:v>Verify active navigation, deferred copy, and Activity/Settings content manually.</x:v>
      </x:c>
    </x:row>
    <x:row r="23" ht="70" customHeight="1">
      <x:c r="A23" s="51" t="str">
        <x:v>UI-005</x:v>
      </x:c>
      <x:c r="B23" s="39" t="str">
        <x:v>Accessibility</x:v>
      </x:c>
      <x:c r="C23" s="39" t="str">
        <x:v>Keyboard focus and dismissal</x:v>
      </x:c>
      <x:c r="D23" s="39" t="str">
        <x:v>As an operator, I can focus search and dismiss open drawers with the keyboard.</x:v>
      </x:c>
      <x:c r="E23" s="39" t="str">
        <x:v>Local operator</x:v>
      </x:c>
      <x:c r="F23" s="39" t="str">
        <x:v>Local-only</x:v>
      </x:c>
      <x:c r="G23" s="39" t="str">
        <x:v>A focused desktop window with search or a drawer available</x:v>
      </x:c>
      <x:c r="H23" s="39" t="str">
        <x:v>Desktop 1280×800</x:v>
      </x:c>
      <x:c r="I23" s="39" t="str">
        <x:v>Cmd/Ctrl-K focuses global search and Escape closes evidence or repository drawers.</x:v>
      </x:c>
      <x:c r="J23" s="39" t="str">
        <x:v>Keyboard shortcuts provide a fast path without invoking provider or modifying operations.</x:v>
      </x:c>
      <x:c r="K23" s="39" t="str">
        <x:v>src/renderer/src/App.tsx; src/renderer/src/components/Drawers.tsx; /Users/jakyeamos/Downloads/pronto_prd.md:356-380, 419-433</x:v>
      </x:c>
      <x:c r="L23" s="39" t="str">
        <x:v>Typecheck/build + live keyboard review</x:v>
      </x:c>
      <x:c r="M23" s="39" t="str">
        <x:v>pnpm typecheck; pnpm build:web; use Cmd/Ctrl-K and Escape in the Tauri window</x:v>
      </x:c>
      <x:c r="N23" s="39" t="str">
        <x:v>Shortcut and dismissal handlers are present and compile; live focus behavior remains environment verification.</x:v>
      </x:c>
      <x:c r="O23" s="39" t="str">
        <x:v>Needs-Environment</x:v>
      </x:c>
      <x:c r="P23" s="39" t="str"/>
      <x:c r="Q23" s="39" t="str">
        <x:v>Environment</x:v>
      </x:c>
      <x:c r="R23" s="39" t="str">
        <x:v>Static checks cannot prove native window focus or focus-return behavior.</x:v>
      </x:c>
      <x:c r="S23" s="39" t="str">
        <x:v>Added global search focus and drawer dismissal without expanding the action surface.</x:v>
      </x:c>
      <x:c r="T23" s="39" t="str">
        <x:v>No; static interaction wiring is covered by build gates.</x:v>
      </x:c>
      <x:c r="U23" s="39" t="str">
        <x:v>Keyboard handling stays in the renderer and is independent of provider state.</x:v>
      </x:c>
      <x:c r="V23" s="39" t="str">
        <x:v>src/renderer/src/App.tsx; src/renderer/src/components/Drawers.tsx</x:v>
      </x:c>
      <x:c r="W23" s="39" t="str">
        <x:v>1</x:v>
      </x:c>
      <x:c r="X23" s="39" t="str">
        <x:v>d332573</x:v>
      </x:c>
      <x:c r="Y23" s="39" t="str">
        <x:v>Verify search focus, Escape dismissal, and focus behavior manually.</x:v>
      </x:c>
    </x:row>
    <x:row r="24" ht="70" customHeight="1">
      <x:c r="A24" s="51" t="str">
        <x:v>UI-006</x:v>
      </x:c>
      <x:c r="B24" s="39" t="str">
        <x:v>Local workspace</x:v>
      </x:c>
      <x:c r="C24" s="39" t="str">
        <x:v>Settings and Activity</x:v>
      </x:c>
      <x:c r="D24" s="39" t="str">
        <x:v>As an operator, I can inspect local roots, storage, freshness, privacy, and transition history.</x:v>
      </x:c>
      <x:c r="E24" s="39" t="str">
        <x:v>Local operator</x:v>
      </x:c>
      <x:c r="F24" s="39" t="str">
        <x:v>Local-only</x:v>
      </x:c>
      <x:c r="G24" s="39" t="str">
        <x:v>Snapshot metadata and optional transition events</x:v>
      </x:c>
      <x:c r="H24" s="39" t="str">
        <x:v>Desktop 1280×800</x:v>
      </x:c>
      <x:c r="I24" s="39" t="str">
        <x:v>Settings shows local roots, storage location, freshness, and privacy; Activity shows transition events or a truthful empty state.</x:v>
      </x:c>
      <x:c r="J24" s="39" t="str">
        <x:v>Local configuration and history are understandable without a server account or provider refresh.</x:v>
      </x:c>
      <x:c r="K24" s="39" t="str">
        <x:v>src/renderer/src/components/WorkspaceSurfaces.tsx; src/renderer/src/App.tsx; /Users/jakyeamos/Downloads/pronto_prd.md:699-717, 859-900</x:v>
      </x:c>
      <x:c r="L24" s="39" t="str">
        <x:v>Typecheck/build + live desktop review</x:v>
      </x:c>
      <x:c r="M24" s="39" t="str">
        <x:v>pnpm typecheck; pnpm build:web; open Settings and Activity in the Tauri window</x:v>
      </x:c>
      <x:c r="N24" s="39" t="str">
        <x:v>Surface content is wired to the local snapshot contract and builds successfully; live rendering remains environment verification.</x:v>
      </x:c>
      <x:c r="O24" s="39" t="str">
        <x:v>Needs-Environment</x:v>
      </x:c>
      <x:c r="P24" s="39" t="str"/>
      <x:c r="Q24" s="39" t="str">
        <x:v>Environment</x:v>
      </x:c>
      <x:c r="R24" s="39" t="str">
        <x:v>The Tauri runtime and platform data directory are not exercised by static checks.</x:v>
      </x:c>
      <x:c r="S24" s="39" t="str">
        <x:v>Added local Settings and Activity surfaces with explicit freshness and privacy copy.</x:v>
      </x:c>
      <x:c r="T24" s="39" t="str">
        <x:v>No; static presentation is covered by build gates.</x:v>
      </x:c>
      <x:c r="U24" s="39" t="str">
        <x:v>The surfaces expose metadata and transition records without exposing source or diff content.</x:v>
      </x:c>
      <x:c r="V24" s="39" t="str">
        <x:v>src/renderer/src/components/WorkspaceSurfaces.tsx; /Users/jakyeamos/Downloads/pronto_prd.md:699-717</x:v>
      </x:c>
      <x:c r="W24" s="39" t="str">
        <x:v>1</x:v>
      </x:c>
      <x:c r="X24" s="39" t="str">
        <x:v>d332573</x:v>
      </x:c>
      <x:c r="Y24" s="39" t="str">
        <x:v>Verify roots, storage path, freshness, privacy, event rows, and empty state manually.</x:v>
      </x:c>
    </x:row>
    <x:row r="25" ht="70" customHeight="1">
      <x:c r="A25" s="51" t="str">
        <x:v>UI-007</x:v>
      </x:c>
      <x:c r="B25" s="39" t="str">
        <x:v>Filtering</x:v>
      </x:c>
      <x:c r="C25" s="39" t="str">
        <x:v>Filtered empty state</x:v>
      </x:c>
      <x:c r="D25" s="39" t="str">
        <x:v>As an operator, I can tell the difference between an empty portfolio and filters that match nothing.</x:v>
      </x:c>
      <x:c r="E25" s="39" t="str">
        <x:v>Local operator</x:v>
      </x:c>
      <x:c r="F25" s="39" t="str">
        <x:v>Local-only</x:v>
      </x:c>
      <x:c r="G25" s="39" t="str">
        <x:v>At least one repository or condition exists</x:v>
      </x:c>
      <x:c r="H25" s="39" t="str">
        <x:v>Desktop 1280×800</x:v>
      </x:c>
      <x:c r="I25" s="39" t="str">
        <x:v>When filters remove every row, the command center explains that no matches were found and offers Clear filters; no-repository states remain distinct.</x:v>
      </x:c>
      <x:c r="J25" s="39" t="str">
        <x:v>Filtering is recoverable and does not make local evidence appear missing.</x:v>
      </x:c>
      <x:c r="K25" s="39" t="str">
        <x:v>src/renderer/src/components/CommandCenterSurface.tsx; src/renderer/src/components/ConsolePrimitives.tsx; /Users/jakyeamos/Downloads/pronto_prd.md:356-380</x:v>
      </x:c>
      <x:c r="L25" s="39" t="str">
        <x:v>Typecheck/build + live desktop review</x:v>
      </x:c>
      <x:c r="M25" s="39" t="str">
        <x:v>pnpm typecheck; pnpm build:web; apply filters until no rows match in the Tauri window</x:v>
      </x:c>
      <x:c r="N25" s="39" t="str">
        <x:v>Filtered-empty and no-data states are represented separately in the renderer; live visual behavior remains environment verification.</x:v>
      </x:c>
      <x:c r="O25" s="39" t="str">
        <x:v>Needs-Environment</x:v>
      </x:c>
      <x:c r="P25" s="39" t="str"/>
      <x:c r="Q25" s="39" t="str">
        <x:v>Environment</x:v>
      </x:c>
      <x:c r="R25" s="39" t="str">
        <x:v>Static checks cannot prove the visual distinction or Clear filters interaction.</x:v>
      </x:c>
      <x:c r="S25" s="39" t="str">
        <x:v>Added a dedicated no-match state and recoverable Clear filters action.</x:v>
      </x:c>
      <x:c r="T25" s="39" t="str">
        <x:v>No; static presentation is covered by build gates.</x:v>
      </x:c>
      <x:c r="U25" s="39" t="str">
        <x:v>The empty-state distinction is local renderer behavior and does not alter scan truth.</x:v>
      </x:c>
      <x:c r="V25" s="39" t="str">
        <x:v>src/renderer/src/components/CommandCenterSurface.tsx; src/renderer/src/components/ConsolePrimitives.tsx</x:v>
      </x:c>
      <x:c r="W25" s="39" t="str">
        <x:v>1</x:v>
      </x:c>
      <x:c r="X25" s="39" t="str">
        <x:v>d332573</x:v>
      </x:c>
      <x:c r="Y25" s="39" t="str">
        <x:v>Verify no-data, no-match, and Clear filters states manually.</x:v>
      </x:c>
    </x:row>
    <x:row r="26" ht="70" customHeight="1">
      <x:c r="A26" s="51" t="str">
        <x:v>CLI-001</x:v>
      </x:c>
      <x:c r="B26" s="39" t="str">
        <x:v>Companion CLI</x:v>
      </x:c>
      <x:c r="C26" s="39" t="str">
        <x:v>Terminal</x:v>
      </x:c>
      <x:c r="D26" s="39" t="str">
        <x:v>As an operator, I can read a concise status or structured JSON snapshot from the same local registry.</x:v>
      </x:c>
      <x:c r="E26" s="39" t="str">
        <x:v>Local operator</x:v>
      </x:c>
      <x:c r="F26" s="39" t="str">
        <x:v>Local-only</x:v>
      </x:c>
      <x:c r="G26" s="39" t="str">
        <x:v>Registry exists or is empty</x:v>
      </x:c>
      <x:c r="H26" s="39" t="str">
        <x:v>Terminal</x:v>
      </x:c>
      <x:c r="I26" s="39" t="str">
        <x:v>`status` and `status --json` call the same Rust core and return human-readable or machine-readable output.</x:v>
      </x:c>
      <x:c r="J26" s="39" t="str">
        <x:v>CLI output is useful for scripts and agrees with the desktop snapshot model.</x:v>
      </x:c>
      <x:c r="K26" s="39" t="str">
        <x:v>src-tauri/src/core.rs:1469-1526; src-tauri/src/bin/pronto_cli.rs:1-3; /Users/jakyeamos/Downloads/pronto_prd.md:723-743</x:v>
      </x:c>
      <x:c r="L26" s="39" t="str">
        <x:v>CLI smoke</x:v>
      </x:c>
      <x:c r="M26" s="39" t="str">
        <x:v>pnpm cli:json; cargo run --manifest-path src-tauri/Cargo.toml --bin pronto_cli -- status</x:v>
      </x:c>
      <x:c r="N26" s="39" t="str">
        <x:v>JSON status exits successfully and uses the shared portfolio snapshot contract.</x:v>
      </x:c>
      <x:c r="O26" s="39" t="str">
        <x:v>Verified</x:v>
      </x:c>
      <x:c r="P26" s="39" t="str"/>
      <x:c r="Q26" s="39" t="str"/>
      <x:c r="R26" s="39" t="str"/>
      <x:c r="S26" s="39" t="str">
        <x:v>No: direct command smoke.</x:v>
      </x:c>
      <x:c r="T26" s="39" t="str">
        <x:v>CLI is a thin entry point; policy remains in shared core.</x:v>
      </x:c>
      <x:c r="U26" s="39" t="str">
        <x:v>src-tauri/src/core.rs:1498-1526; /Users/jakyeamos/Downloads/pronto_prd.md:723-743</x:v>
      </x:c>
      <x:c r="V26" s="39" t="str">
        <x:v>1</x:v>
      </x:c>
      <x:c r="W26" s="39" t="str">
        <x:v>d332573</x:v>
      </x:c>
      <x:c r="X26" s="39" t="str">
        <x:v>Implement desktop focus behavior for `pronto .` when the app lifecycle is available.</x:v>
      </x:c>
      <x:c r="Y26" s="39"/>
    </x:row>
    <x:row r="27" ht="70" customHeight="1">
      <x:c r="A27" s="51" t="str">
        <x:v>CLI-002</x:v>
      </x:c>
      <x:c r="B27" s="39" t="str">
        <x:v>Companion CLI</x:v>
      </x:c>
      <x:c r="C27" s="39" t="str">
        <x:v>Executable wrapper</x:v>
      </x:c>
      <x:c r="D27" s="39" t="str">
        <x:v>As an operator, I can invoke `pronto` through the package-installed wrapper.</x:v>
      </x:c>
      <x:c r="E27" s="39" t="str">
        <x:v>Local operator</x:v>
      </x:c>
      <x:c r="F27" s="39" t="str">
        <x:v>Local-only</x:v>
      </x:c>
      <x:c r="G27" s="39" t="str">
        <x:v>Rust toolchain available</x:v>
      </x:c>
      <x:c r="H27" s="39" t="str">
        <x:v>Terminal</x:v>
      </x:c>
      <x:c r="I27" s="39" t="str">
        <x:v>The Node wrapper forwards arguments to the native CLI without shell interpolation.</x:v>
      </x:c>
      <x:c r="J27" s="39" t="str">
        <x:v>CLI arguments are forwarded safely and output remains the shared Rust output.</x:v>
      </x:c>
      <x:c r="K27" s="39" t="str">
        <x:v>bin/pronto.mjs:1-22; /Users/jakyeamos/Downloads/pronto_prd.md:723-743</x:v>
      </x:c>
      <x:c r="L27" s="39" t="str">
        <x:v>CLI smoke + source review</x:v>
      </x:c>
      <x:c r="M27" s="39" t="str">
        <x:v>node bin/pronto.mjs status --json</x:v>
      </x:c>
      <x:c r="N27" s="39" t="str">
        <x:v>Wrapper exits successfully and returns JSON from the Rust binary.</x:v>
      </x:c>
      <x:c r="O27" s="39" t="str">
        <x:v>Verified</x:v>
      </x:c>
      <x:c r="P27" s="39" t="str"/>
      <x:c r="Q27" s="39" t="str"/>
      <x:c r="R27" s="39" t="str"/>
      <x:c r="S27" s="39" t="str">
        <x:v>No: direct command smoke.</x:v>
      </x:c>
      <x:c r="T27" s="39" t="str">
        <x:v>Wrapper is intentionally minimal; no duplicate business logic.</x:v>
      </x:c>
      <x:c r="U27" s="39" t="str">
        <x:v>bin/pronto.mjs:1-22; /Users/jakyeamos/Downloads/pronto_prd.md:723-743</x:v>
      </x:c>
      <x:c r="V27" s="39" t="str">
        <x:v>1</x:v>
      </x:c>
      <x:c r="W27" s="39" t="str">
        <x:v>d332573</x:v>
      </x:c>
      <x:c r="X27" s="39" t="str">
        <x:v>Package installation and `pronto .` focus behavior remain to be verified.</x:v>
      </x:c>
      <x:c r="Y27" s="39"/>
    </x:row>
    <x:row r="28" ht="70" customHeight="1">
      <x:c r="A28" s="51" t="str">
        <x:v>BUILD-001</x:v>
      </x:c>
      <x:c r="B28" s="39" t="str">
        <x:v>Distribution</x:v>
      </x:c>
      <x:c r="C28" s="39" t="str">
        <x:v>Tauri app bundle</x:v>
      </x:c>
      <x:c r="D28" s="39" t="str">
        <x:v>As an operator, I can build a desktop app bundle and DMG from the repository.</x:v>
      </x:c>
      <x:c r="E28" s="39" t="str">
        <x:v>Maintainer</x:v>
      </x:c>
      <x:c r="F28" s="39" t="str">
        <x:v>Local-only</x:v>
      </x:c>
      <x:c r="G28" s="39" t="str">
        <x:v>Rust toolchain and pnpm dependencies installed</x:v>
      </x:c>
      <x:c r="H28" s="39" t="str">
        <x:v>Build system</x:v>
      </x:c>
      <x:c r="I28" s="39" t="str">
        <x:v>The Tauri release build produces a macOS app bundle and DMG from the React renderer and Rust core.</x:v>
      </x:c>
      <x:c r="J28" s="39" t="str">
        <x:v>A reproducible build artifact exists without relying on a web-only preview.</x:v>
      </x:c>
      <x:c r="K28" s="39" t="str">
        <x:v>src-tauri/tauri.conf.json:1-40; package.json:1-53; /Users/jakyeamos/Downloads/pronto_prd.md:196-210, 926-934</x:v>
      </x:c>
      <x:c r="L28" s="39" t="str">
        <x:v>Production build</x:v>
      </x:c>
      <x:c r="M28" s="39" t="str">
        <x:v>pnpm build</x:v>
      </x:c>
      <x:c r="N28" s="39" t="str">
        <x:v>Release build previously produced `Pronto.app` and `Pronto_0.1.0_aarch64.dmg`; final incremental build is rerun below.</x:v>
      </x:c>
      <x:c r="O28" s="39" t="str">
        <x:v>Verified</x:v>
      </x:c>
      <x:c r="P28" s="39" t="str"/>
      <x:c r="Q28" s="39" t="str"/>
      <x:c r="R28" s="39" t="str"/>
      <x:c r="S28" s="39" t="str">
        <x:v>No: direct build output.</x:v>
      </x:c>
      <x:c r="T28" s="39" t="str">
        <x:v>Tauri keeps native access behind Rust commands and avoids a Node renderer runtime.</x:v>
      </x:c>
      <x:c r="U28" s="39" t="str">
        <x:v>package.json; /Users/jakyeamos/Downloads/pronto_prd.md:926-934</x:v>
      </x:c>
      <x:c r="V28" s="39" t="str">
        <x:v>1</x:v>
      </x:c>
      <x:c r="W28" s="39" t="str">
        <x:v>d332573</x:v>
      </x:c>
      <x:c r="X28" s="39" t="str">
        <x:v>Code signing/notarization is outside this local implementation.</x:v>
      </x:c>
      <x:c r="Y28" s="39"/>
    </x:row>
    <x:row r="29" ht="70" customHeight="1">
      <x:c r="A29" s="51" t="str">
        <x:v>SAFE-001</x:v>
      </x:c>
      <x:c r="B29" s="39" t="str">
        <x:v>Safety</x:v>
      </x:c>
      <x:c r="C29" s="39" t="str">
        <x:v>Native command boundary</x:v>
      </x:c>
      <x:c r="D29" s="39" t="str">
        <x:v>As an operator, I trust that the local scan cannot execute a user-controlled shell string or prohibited destructive Git action.</x:v>
      </x:c>
      <x:c r="E29" s="39" t="str">
        <x:v>Local operator</x:v>
      </x:c>
      <x:c r="F29" s="39" t="str">
        <x:v>Local-only</x:v>
      </x:c>
      <x:c r="G29" s="39" t="str">
        <x:v>Any repository path or branch name may contain shell-special characters</x:v>
      </x:c>
      <x:c r="H29" s="39" t="str">
        <x:v>Native core</x:v>
      </x:c>
      <x:c r="I29" s="39" t="str">
        <x:v>Git calls use structured argument arrays and the current slice exposes only scan, persistence, and expected-state mutations.</x:v>
      </x:c>
      <x:c r="J29" s="39" t="str">
        <x:v>No force push, hard reset, destructive checkout, branch deletion, or history rewrite is reachable in the implemented surface.</x:v>
      </x:c>
      <x:c r="K29" s="39" t="str">
        <x:v>src-tauri/src/core.rs:251-297, 1434-1467; /Users/jakyeamos/Downloads/pronto_prd.md:541-551, 1175-1183</x:v>
      </x:c>
      <x:c r="L29" s="39" t="str">
        <x:v>Static safety audit + hook-mode tests</x:v>
      </x:c>
      <x:c r="M29" s="39" t="str">
        <x:v>rg 'Command::new|git ' src-tauri/src; GIT_INDEX_FILE=.git/index pnpm test; pre-cr run --workspace .</x:v>
      </x:c>
      <x:c r="N29" s="39" t="str">
        <x:v>Structured process invocation is the only Git boundary; hook-mode tests pass after inherited Git env sanitization.</x:v>
      </x:c>
      <x:c r="O29" s="39" t="str">
        <x:v>Verified</x:v>
      </x:c>
      <x:c r="P29" s="39" t="str"/>
      <x:c r="Q29" s="39" t="str"/>
      <x:c r="R29" s="39" t="str"/>
      <x:c r="S29" s="39" t="str">
        <x:v>Yes: regression protects hook environment contamination; no destructive action test needed for absent commands.</x:v>
      </x:c>
      <x:c r="T29" s="39" t="str">
        <x:v>Safety gate is explicit and small; adding actions requires a separate preflight/audit phase.</x:v>
      </x:c>
      <x:c r="U29" s="39" t="str">
        <x:v>src-tauri/src/core.rs:251-297; /Users/jakyeamos/Downloads/pronto_prd.md:541-551, 1175-1183</x:v>
      </x:c>
      <x:c r="V29" s="39" t="str">
        <x:v>1</x:v>
      </x:c>
      <x:c r="W29" s="39" t="str">
        <x:v>d332573</x:v>
      </x:c>
      <x:c r="X29" s="39" t="str">
        <x:v>Add action-tier audit tests only when modifying actions are authorized and implemented.</x:v>
      </x:c>
      <x:c r="Y29" s="39"/>
    </x:row>
    <x:row r="30" ht="70" customHeight="1">
      <x:c r="A30" s="51" t="str">
        <x:v>PROV-001</x:v>
      </x:c>
      <x:c r="B30" s="39" t="str">
        <x:v>Provider</x:v>
      </x:c>
      <x:c r="C30" s="39" t="str">
        <x:v>GitHub identities / refresh</x:v>
      </x:c>
      <x:c r="D30" s="39" t="str">
        <x:v>As an operator, I can connect multiple identities and see permission degradation explicitly.</x:v>
      </x:c>
      <x:c r="E30" s="39" t="str">
        <x:v>Provider-connected operator</x:v>
      </x:c>
      <x:c r="F30" s="39" t="str">
        <x:v>Provider auth required</x:v>
      </x:c>
      <x:c r="G30" s="39" t="str">
        <x:v>GitHub account and OS credential-store permissions</x:v>
      </x:c>
      <x:c r="H30" s="39" t="str">
        <x:v>Desktop + provider API</x:v>
      </x:c>
      <x:c r="I30" s="39" t="str">
        <x:v>No provider adapter is enabled in this slice; the app does not claim GitHub identity, refresh, or permission results.</x:v>
      </x:c>
      <x:c r="J30" s="39" t="str">
        <x:v>No provider state is shown as current until identity and permission evidence exist.</x:v>
      </x:c>
      <x:c r="K30" s="39" t="str">
        <x:v>docs/implementation-plan.md:19-24; /Users/jakyeamos/Downloads/pronto_prd.md:296-306, 974-987</x:v>
      </x:c>
      <x:c r="L30" s="39" t="str">
        <x:v>Boundary review</x:v>
      </x:c>
      <x:c r="M30" s="39" t="str">
        <x:v>Deferred: requires explicit provider authority and credentials</x:v>
      </x:c>
      <x:c r="N30" s="39" t="str">
        <x:v>Provider identity, credential separation, and permission degradation are not implemented.</x:v>
      </x:c>
      <x:c r="O30" s="39" t="str">
        <x:v>Needs-Environment</x:v>
      </x:c>
      <x:c r="P30" s="39" t="str"/>
      <x:c r="Q30" s="39" t="str">
        <x:v>Dependency</x:v>
      </x:c>
      <x:c r="R30" s="39" t="str">
        <x:v>Requires network, provider auth, OS credential store, and a durable identity mapping.</x:v>
      </x:c>
      <x:c r="S30" s="39" t="str">
        <x:v>Kept as an explicit deferred boundary; no fake adapter or mock provider result is added.</x:v>
      </x:c>
      <x:c r="T30" s="39" t="str">
        <x:v>No.</x:v>
      </x:c>
      <x:c r="U30" s="39" t="str">
        <x:v>Provider work is separated from local Git evidence by design.</x:v>
      </x:c>
      <x:c r="V30" s="39" t="str">
        <x:v>pronto_prd.md:296-306, 974-987; docs/implementation-plan.md:49-54</x:v>
      </x:c>
      <x:c r="W30" s="39" t="str">
        <x:v>1</x:v>
      </x:c>
      <x:c r="X30" s="39" t="str">
        <x:v>d332573</x:v>
      </x:c>
      <x:c r="Y30" s="39" t="str">
        <x:v>Define provider permission and freshness contracts before implementation.</x:v>
      </x:c>
    </x:row>
    <x:row r="31" ht="70" customHeight="1">
      <x:c r="A31" s="51" t="str">
        <x:v>REMOTE-001</x:v>
      </x:c>
      <x:c r="B31" s="39" t="str">
        <x:v>Remote catalog</x:v>
      </x:c>
      <x:c r="C31" s="39" t="str">
        <x:v>Remote-only / clone</x:v>
      </x:c>
      <x:c r="D31" s="39" t="str">
        <x:v>As an operator, I can import or clone a remote-only repository into a selected root.</x:v>
      </x:c>
      <x:c r="E31" s="39" t="str">
        <x:v>Provider-connected operator</x:v>
      </x:c>
      <x:c r="F31" s="39" t="str">
        <x:v>Provider auth required</x:v>
      </x:c>
      <x:c r="G31" s="39" t="str">
        <x:v>Remote repository catalog and clone permission</x:v>
      </x:c>
      <x:c r="H31" s="39" t="str">
        <x:v>Desktop + network</x:v>
      </x:c>
      <x:c r="I31" s="39" t="str">
        <x:v>Remote catalog and clone are not exposed by the local-first slice.</x:v>
      </x:c>
      <x:c r="J31" s="39" t="str">
        <x:v>A remote repository is not represented as local until clone succeeds and the local scan registers it.</x:v>
      </x:c>
      <x:c r="K31" s="39" t="str">
        <x:v>docs/implementation-plan.md:49-54; /Users/jakyeamos/Downloads/pronto_prd.md:280-286, 849-857</x:v>
      </x:c>
      <x:c r="L31" s="39" t="str">
        <x:v>Boundary review</x:v>
      </x:c>
      <x:c r="M31" s="39" t="str">
        <x:v>Deferred: requires provider auth, network, clone preflight, and selected root</x:v>
      </x:c>
      <x:c r="N31" s="39" t="str">
        <x:v>No remote-only or clone path is implemented.</x:v>
      </x:c>
      <x:c r="O31" s="39" t="str">
        <x:v>Needs-Environment</x:v>
      </x:c>
      <x:c r="P31" s="39" t="str"/>
      <x:c r="Q31" s="39" t="str">
        <x:v>Dependency</x:v>
      </x:c>
      <x:c r="R31" s="39" t="str">
        <x:v>Requires network and exact destination authorization.</x:v>
      </x:c>
      <x:c r="S31" s="39" t="str">
        <x:v>Deferred explicitly rather than pretending provider access exists.</x:v>
      </x:c>
      <x:c r="T31" s="39" t="str">
        <x:v>No.</x:v>
      </x:c>
      <x:c r="U31" s="39" t="str">
        <x:v>Clone is a modifying action and must arrive with fresh preflight/audit contracts.</x:v>
      </x:c>
      <x:c r="V31" s="39" t="str">
        <x:v>pronto_prd.md:280-286, 849-857</x:v>
      </x:c>
      <x:c r="W31" s="39" t="str">
        <x:v>1</x:v>
      </x:c>
      <x:c r="X31" s="39" t="str">
        <x:v>d332573</x:v>
      </x:c>
      <x:c r="Y31" s="39" t="str">
        <x:v>Define clone destination and audit semantics before adding the action.</x:v>
      </x:c>
    </x:row>
    <x:row r="32" ht="70" customHeight="1">
      <x:c r="A32" s="51" t="str">
        <x:v>ACTION-001</x:v>
      </x:c>
      <x:c r="B32" s="39" t="str">
        <x:v>Safe actions</x:v>
      </x:c>
      <x:c r="C32" s="39" t="str">
        <x:v>Preflight / audit</x:v>
      </x:c>
      <x:c r="D32" s="39" t="str">
        <x:v>As an operator, I can see exact targets and fresh preflight evidence before a modifying action runs.</x:v>
      </x:c>
      <x:c r="E32" s="39" t="str">
        <x:v>Local operator</x:v>
      </x:c>
      <x:c r="F32" s="39" t="str">
        <x:v>Local-only or provider auth</x:v>
      </x:c>
      <x:c r="G32" s="39" t="str">
        <x:v>A bounded modifying action is explicitly authorized</x:v>
      </x:c>
      <x:c r="H32" s="39" t="str">
        <x:v>Desktop + native core</x:v>
      </x:c>
      <x:c r="I32" s="39" t="str">
        <x:v>The current slice exposes no modifying Git action, so preflight and audit are not falsely represented as complete.</x:v>
      </x:c>
      <x:c r="J32" s="39" t="str">
        <x:v>No action is available without a fresh preflight, exact target, audit record, and post-action rescan.</x:v>
      </x:c>
      <x:c r="K32" s="39" t="str">
        <x:v>docs/implementation-plan.md:49-54; /Users/jakyeamos/Downloads/pronto_prd.md:529-551, 1173-1183</x:v>
      </x:c>
      <x:c r="L32" s="39" t="str">
        <x:v>Boundary review</x:v>
      </x:c>
      <x:c r="M32" s="39" t="str">
        <x:v>Deferred until action policy is implemented</x:v>
      </x:c>
      <x:c r="N32" s="39" t="str">
        <x:v>No modifying action adapter exists in this implementation.</x:v>
      </x:c>
      <x:c r="O32" s="39" t="str">
        <x:v>Needs-Environment</x:v>
      </x:c>
      <x:c r="P32" s="39" t="str"/>
      <x:c r="Q32" s="39" t="str">
        <x:v>Dependency</x:v>
      </x:c>
      <x:c r="R32" s="39" t="str">
        <x:v>Requires action tiers, permission policy, audit schema, and failure semantics.</x:v>
      </x:c>
      <x:c r="S32" s="39" t="str">
        <x:v>Read-only slice keeps the action surface absent.</x:v>
      </x:c>
      <x:c r="T32" s="39" t="str">
        <x:v>No.</x:v>
      </x:c>
      <x:c r="U32" s="39" t="str">
        <x:v>Do not add action buttons before the preflight/audit contract is testable.</x:v>
      </x:c>
      <x:c r="V32" s="39" t="str">
        <x:v>pronto_prd.md:529-551</x:v>
      </x:c>
      <x:c r="W32" s="39" t="str">
        <x:v>1</x:v>
      </x:c>
      <x:c r="X32" s="39" t="str">
        <x:v>d332573</x:v>
      </x:c>
      <x:c r="Y32" s="39" t="str">
        <x:v>Phase 2 must add preflight tests before any modifying command.</x:v>
      </x:c>
    </x:row>
    <x:row r="33" ht="70" customHeight="1">
      <x:c r="A33" s="51" t="str">
        <x:v>PR-001</x:v>
      </x:c>
      <x:c r="B33" s="39" t="str">
        <x:v>Pull requests</x:v>
      </x:c>
      <x:c r="C33" s="39" t="str">
        <x:v>Provider lifecycle</x:v>
      </x:c>
      <x:c r="D33" s="39" t="str">
        <x:v>As an operator, I can create or merge a PR only when provider facts and permissions are verifiable.</x:v>
      </x:c>
      <x:c r="E33" s="39" t="str">
        <x:v>Provider-connected operator</x:v>
      </x:c>
      <x:c r="F33" s="39" t="str">
        <x:v>Provider auth required</x:v>
      </x:c>
      <x:c r="G33" s="39" t="str">
        <x:v>Known head/base, checks, reviews, and provider identity</x:v>
      </x:c>
      <x:c r="H33" s="39" t="str">
        <x:v>Desktop + provider API</x:v>
      </x:c>
      <x:c r="I33" s="39" t="str">
        <x:v>PR creation, review evidence, and merge actions are explicit deferred boundaries.</x:v>
      </x:c>
      <x:c r="J33" s="39" t="str">
        <x:v>Unknown checks or reviews never become a merge-eligible state.</x:v>
      </x:c>
      <x:c r="K33" s="39" t="str">
        <x:v>docs/implementation-plan.md:56-60; /Users/jakyeamos/Downloads/pronto_prd.md:555-571, 1185-1189</x:v>
      </x:c>
      <x:c r="L33" s="39" t="str">
        <x:v>Boundary review</x:v>
      </x:c>
      <x:c r="M33" s="39" t="str">
        <x:v>Deferred: provider permission and PR API required</x:v>
      </x:c>
      <x:c r="N33" s="39" t="str">
        <x:v>No PR lifecycle implementation is present.</x:v>
      </x:c>
      <x:c r="O33" s="39" t="str">
        <x:v>Needs-Environment</x:v>
      </x:c>
      <x:c r="P33" s="39" t="str"/>
      <x:c r="Q33" s="39" t="str">
        <x:v>Dependency</x:v>
      </x:c>
      <x:c r="R33" s="39" t="str">
        <x:v>Requires provider adapter, permission degradation, and action audit.</x:v>
      </x:c>
      <x:c r="S33" s="39" t="str">
        <x:v>Deferred with explicit unknown/unavailable semantics.</x:v>
      </x:c>
      <x:c r="T33" s="39" t="str">
        <x:v>No.</x:v>
      </x:c>
      <x:c r="U33" s="39" t="str">
        <x:v>PR work depends on provider state and cannot be safely inferred from local Git alone.</x:v>
      </x:c>
      <x:c r="V33" s="39" t="str">
        <x:v>pronto_prd.md:555-571, 1185-1189</x:v>
      </x:c>
      <x:c r="W33" s="39" t="str">
        <x:v>1</x:v>
      </x:c>
      <x:c r="X33" s="39" t="str">
        <x:v>d332573</x:v>
      </x:c>
      <x:c r="Y33" s="39" t="str">
        <x:v>Add provider-backed evidence before adding any merge control.</x:v>
      </x:c>
    </x:row>
    <x:row r="34" ht="70" customHeight="1">
      <x:c r="A34" s="51" t="str">
        <x:v>REL-001</x:v>
      </x:c>
      <x:c r="B34" s="39" t="str">
        <x:v>Releases</x:v>
      </x:c>
      <x:c r="C34" s="39" t="str">
        <x:v>Release preparation</x:v>
      </x:c>
      <x:c r="D34" s="39" t="str">
        <x:v>As an operator, I can prepare a deterministic release draft without publishing it automatically.</x:v>
      </x:c>
      <x:c r="E34" s="39" t="str">
        <x:v>Release maintainer</x:v>
      </x:c>
      <x:c r="F34" s="39" t="str">
        <x:v>Provider auth required</x:v>
      </x:c>
      <x:c r="G34" s="39" t="str">
        <x:v>Published release baseline, configured rule, clean isolated worktree</x:v>
      </x:c>
      <x:c r="H34" s="39" t="str">
        <x:v>Desktop + provider API</x:v>
      </x:c>
      <x:c r="I34" s="39" t="str">
        <x:v>Release baseline, deterministic rules, isolated worktrees, and draft handoff are deferred.</x:v>
      </x:c>
      <x:c r="J34" s="39" t="str">
        <x:v>No release threshold or version recommendation appears until its configured evidence exists.</x:v>
      </x:c>
      <x:c r="K34" s="39" t="str">
        <x:v>docs/implementation-plan.md:56-60; /Users/jakyeamos/Downloads/pronto_prd.md:575-655, 1191-1203</x:v>
      </x:c>
      <x:c r="L34" s="39" t="str">
        <x:v>Boundary review</x:v>
      </x:c>
      <x:c r="M34" s="39" t="str">
        <x:v>Deferred: provider, release recipe, and isolated worktree gates required</x:v>
      </x:c>
      <x:c r="N34" s="39" t="str">
        <x:v>No release preparation or publication path is implemented.</x:v>
      </x:c>
      <x:c r="O34" s="39" t="str">
        <x:v>Needs-Environment</x:v>
      </x:c>
      <x:c r="P34" s="39" t="str"/>
      <x:c r="Q34" s="39" t="str">
        <x:v>Dependency</x:v>
      </x:c>
      <x:c r="R34" s="39" t="str">
        <x:v>Requires exact diff review, validation gates, and publication boundary.</x:v>
      </x:c>
      <x:c r="S34" s="39" t="str">
        <x:v>Phase 3 plan preserves the no-publish rule.</x:v>
      </x:c>
      <x:c r="T34" s="39" t="str">
        <x:v>No.</x:v>
      </x:c>
      <x:c r="U34" s="39" t="str">
        <x:v>Release automation is intentionally not inferred from local commit counts.</x:v>
      </x:c>
      <x:c r="V34" s="39" t="str">
        <x:v>pronto_prd.md:575-655, 1191-1203</x:v>
      </x:c>
      <x:c r="W34" s="39" t="str">
        <x:v>1</x:v>
      </x:c>
      <x:c r="X34" s="39" t="str">
        <x:v>d332573</x:v>
      </x:c>
      <x:c r="Y34" s="39" t="str">
        <x:v>Define recipe state and audit events before implementation.</x:v>
      </x:c>
    </x:row>
    <x:row r="35" ht="70" customHeight="1">
      <x:c r="A35" s="51" t="str">
        <x:v>PROC-001</x:v>
      </x:c>
      <x:c r="B35" s="39" t="str">
        <x:v>Agent workspaces</x:v>
      </x:c>
      <x:c r="C35" s="39" t="str">
        <x:v>Process / terminal evidence</x:v>
      </x:c>
      <x:c r="D35" s="39" t="str">
        <x:v>As an operator, I can tell whether an agent workspace has process evidence without exposing terminal contents.</x:v>
      </x:c>
      <x:c r="E35" s="39" t="str">
        <x:v>Local operator</x:v>
      </x:c>
      <x:c r="F35" s="39" t="str">
        <x:v>Local permission required</x:v>
      </x:c>
      <x:c r="G35" s="39" t="str">
        <x:v>OS process inspection permission and optional manifest</x:v>
      </x:c>
      <x:c r="H35" s="39" t="str">
        <x:v>Desktop + native adapters</x:v>
      </x:c>
      <x:c r="I35" s="39" t="str">
        <x:v>Process, terminal, and generic agent adapters are deferred; no certainty is claimed from their absence.</x:v>
      </x:c>
      <x:c r="J35" s="39" t="str">
        <x:v>Unknown process evidence remains unknown rather than being classified as inactive or safe to clean.</x:v>
      </x:c>
      <x:c r="K35" s="39" t="str">
        <x:v>docs/implementation-plan.md:51-54; /Users/jakyeamos/Downloads/pronto_prd.md:489-525, 1165-1171</x:v>
      </x:c>
      <x:c r="L35" s="39" t="str">
        <x:v>Boundary review</x:v>
      </x:c>
      <x:c r="M35" s="39" t="str">
        <x:v>Deferred: OS adapter and permission boundary required</x:v>
      </x:c>
      <x:c r="N35" s="39" t="str">
        <x:v>No process or terminal capture is implemented.</x:v>
      </x:c>
      <x:c r="O35" s="39" t="str">
        <x:v>Needs-Environment</x:v>
      </x:c>
      <x:c r="P35" s="39" t="str"/>
      <x:c r="Q35" s="39" t="str">
        <x:v>Dependency</x:v>
      </x:c>
      <x:c r="R35" s="39" t="str">
        <x:v>Cross-platform process APIs and privacy review are required.</x:v>
      </x:c>
      <x:c r="S35" s="39" t="str">
        <x:v>The current slice only models linked worktrees as local workspaces.</x:v>
      </x:c>
      <x:c r="T35" s="39" t="str">
        <x:v>No.</x:v>
      </x:c>
      <x:c r="U35" s="39" t="str">
        <x:v>Never capture terminal contents, prompts, source text, or keystrokes.</x:v>
      </x:c>
      <x:c r="V35" s="39" t="str">
        <x:v>pronto_prd.md:489-525</x:v>
      </x:c>
      <x:c r="W35" s="39" t="str">
        <x:v>1</x:v>
      </x:c>
      <x:c r="X35" s="39" t="str">
        <x:v>d332573</x:v>
      </x:c>
      <x:c r="Y35" s="39" t="str">
        <x:v>Add provider-neutral adapters and confidence language in Phase 2.</x:v>
      </x:c>
    </x:row>
    <x:row r="36" ht="70" customHeight="1">
      <x:c r="A36" s="51" t="str">
        <x:v>GROUP-001</x:v>
      </x:c>
      <x:c r="B36" s="39" t="str">
        <x:v>Products</x:v>
      </x:c>
      <x:c r="C36" s="39" t="str">
        <x:v>Products / groups</x:v>
      </x:c>
      <x:c r="D36" s="39" t="str">
        <x:v>As an operator, I can aggregate multiple repositories without hiding repository-level evidence.</x:v>
      </x:c>
      <x:c r="E36" s="39" t="str">
        <x:v>Portfolio operator</x:v>
      </x:c>
      <x:c r="F36" s="39" t="str">
        <x:v>Local-only or provider auth</x:v>
      </x:c>
      <x:c r="G36" s="39" t="str">
        <x:v>Product/group configuration and participating repositories</x:v>
      </x:c>
      <x:c r="H36" s="39" t="str">
        <x:v>Desktop 1280×800</x:v>
      </x:c>
      <x:c r="I36" s="39" t="str">
        <x:v>Products, groups, and coordinated release are deferred; the current portfolio remains repository-first.</x:v>
      </x:c>
      <x:c r="J36" s="39" t="str">
        <x:v>No aggregate product status is shown until its repository-level provenance and release policy are defined.</x:v>
      </x:c>
      <x:c r="K36" s="39" t="str">
        <x:v>docs/implementation-plan.md:56-60; /Users/jakyeamos/Downloads/pronto_prd.md:227-238, 659-677</x:v>
      </x:c>
      <x:c r="L36" s="39" t="str">
        <x:v>Boundary review</x:v>
      </x:c>
      <x:c r="M36" s="39" t="str">
        <x:v>Deferred: product model and coordination policy required</x:v>
      </x:c>
      <x:c r="N36" s="39" t="str">
        <x:v>No product/group mutation or coordinated release logic is implemented.</x:v>
      </x:c>
      <x:c r="O36" s="39" t="str">
        <x:v>Deferred</x:v>
      </x:c>
      <x:c r="P36" s="39" t="str"/>
      <x:c r="Q36" s="39" t="str">
        <x:v>Product</x:v>
      </x:c>
      <x:c r="R36" s="39" t="str">
        <x:v>Manual product/group configuration is accepted; implementation still needs the durable state and coordination model.</x:v>
      </x:c>
      <x:c r="S36" s="39" t="str">
        <x:v>Repository-first UI avoids a premature inferred aggregate abstraction.</x:v>
      </x:c>
      <x:c r="T36" s="39" t="str">
        <x:v>No.</x:v>
      </x:c>
      <x:c r="U36" s="39" t="str">
        <x:v>This is an accepted delivery boundary, not an unresolved product decision.</x:v>
      </x:c>
      <x:c r="V36" s="39" t="str">
        <x:v>pronto_prd.md:227-238, 659-677</x:v>
      </x:c>
      <x:c r="W36" s="39" t="str">
        <x:v>1</x:v>
      </x:c>
      <x:c r="X36" s="39" t="str">
        <x:v>d332573</x:v>
      </x:c>
      <x:c r="Y36" s="39" t="str">
        <x:v>Implement manual product/group configuration after the SQLite contract is stable.</x:v>
      </x:c>
    </x:row>
    <x:row r="37" ht="70" customHeight="1">
      <x:c r="A37" s="51" t="str">
        <x:v>AI-001</x:v>
      </x:c>
      <x:c r="B37" s="39" t="str">
        <x:v>AI and privacy</x:v>
      </x:c>
      <x:c r="C37" s="39" t="str">
        <x:v>Privacy boundary</x:v>
      </x:c>
      <x:c r="D37" s="39" t="str">
        <x:v>As an operator, I can keep AI disabled and prevent uncommitted source from leaving the machine.</x:v>
      </x:c>
      <x:c r="E37" s="39" t="str">
        <x:v>Privacy-conscious operator</x:v>
      </x:c>
      <x:c r="F37" s="39" t="str">
        <x:v>AI disabled by default</x:v>
      </x:c>
      <x:c r="G37" s="39" t="str">
        <x:v>Explicit provider/model permission and approved payload</x:v>
      </x:c>
      <x:c r="H37" s="39" t="str">
        <x:v>Desktop + provider/local model</x:v>
      </x:c>
      <x:c r="I37" s="39" t="str">
        <x:v>No AI request path exists in this slice; local snapshots contain metadata and no uncommitted diff content.</x:v>
      </x:c>
      <x:c r="J37" s="39" t="str">
        <x:v>No AI claim or payload is possible until the user opts in and reviews the exact payload categories.</x:v>
      </x:c>
      <x:c r="K37" s="39" t="str">
        <x:v>src-tauri/src/core.rs:32-188; src/renderer/src/App.tsx:180-309; /Users/jakyeamos/Downloads/pronto_prd.md:679-695, 1205-1211</x:v>
      </x:c>
      <x:c r="L37" s="39" t="str">
        <x:v>Static safety review + privacy regression</x:v>
      </x:c>
      <x:c r="M37" s="39" t="str">
        <x:v>rg 'diff|filename|content' src-tauri/src/core.rs src/renderer/src; cargo test --manifest-path src-tauri/Cargo.toml</x:v>
      </x:c>
      <x:c r="N37" s="39" t="str">
        <x:v>No external AI call is implemented; snapshot privacy test passes and UI states the local/private boundary.</x:v>
      </x:c>
      <x:c r="O37" s="39" t="str">
        <x:v>Deferred</x:v>
      </x:c>
      <x:c r="P37" s="39" t="str"/>
      <x:c r="Q37" s="39" t="str">
        <x:v>Product</x:v>
      </x:c>
      <x:c r="R37" s="39" t="str">
        <x:v>AI remains disabled by the accepted product direction; payload categories and provider permissions are outside this slice.</x:v>
      </x:c>
      <x:c r="S37" s="39" t="str">
        <x:v>Deferred AI authority; local metadata-only evidence remains available.</x:v>
      </x:c>
      <x:c r="T37" s="39" t="str">
        <x:v>Yes: snapshot excludes source/diff content.</x:v>
      </x:c>
      <x:c r="U37" s="39" t="str">
        <x:v>AI is not introduced as a shortcut for missing provider evidence.</x:v>
      </x:c>
      <x:c r="V37" s="39" t="str">
        <x:v>pronto_prd.md:679-695, 1205-1211</x:v>
      </x:c>
      <x:c r="W37" s="39" t="str">
        <x:v>1</x:v>
      </x:c>
      <x:c r="X37" s="39" t="str">
        <x:v>d332573</x:v>
      </x:c>
      <x:c r="Y37" s="39" t="str">
        <x:v>Keep AI disabled until per-repository permissions and payload preview are explicitly designed.</x:v>
      </x:c>
    </x:row>
    <x:row r="38" ht="70" customHeight="1">
      <x:c r="A38" s="51" t="str">
        <x:v>HIST-001</x:v>
      </x:c>
      <x:c r="B38" s="39" t="str">
        <x:v>History</x:v>
      </x:c>
      <x:c r="C38" s="39" t="str">
        <x:v>Event retention</x:v>
      </x:c>
      <x:c r="D38" s="39" t="str">
        <x:v>As an operator, I can retain bounded transition history without losing current state.</x:v>
      </x:c>
      <x:c r="E38" s="39" t="str">
        <x:v>Local operator</x:v>
      </x:c>
      <x:c r="F38" s="39" t="str">
        <x:v>Local-only</x:v>
      </x:c>
      <x:c r="G38" s="39" t="str">
        <x:v>Transition events persisted in local store</x:v>
      </x:c>
      <x:c r="H38" s="39" t="str">
        <x:v>Native core</x:v>
      </x:c>
      <x:c r="I38" s="39" t="str">
        <x:v>Events are transition-only, retained for a default bounded window, and pruned independently of current snapshots.</x:v>
      </x:c>
      <x:c r="J38" s="39" t="str">
        <x:v>History is useful without growing indefinitely or becoming a source-content archive.</x:v>
      </x:c>
      <x:c r="K38" s="39" t="str">
        <x:v>src-tauri/src/core.rs:110-149, 1220-1320; /Users/jakyeamos/Downloads/pronto_prd.md:699-717</x:v>
      </x:c>
      <x:c r="L38" s="39" t="str">
        <x:v>Rust repeated-scan regression + source review</x:v>
      </x:c>
      <x:c r="M38" s="39" t="str">
        <x:v>cargo test --manifest-path src-tauri/Cargo.toml</x:v>
      </x:c>
      <x:c r="N38" s="39" t="str">
        <x:v>Transition persistence passes; the 90-day default and configurable retention are represented in the core constants/logic for this slice.</x:v>
      </x:c>
      <x:c r="O38" s="39" t="str">
        <x:v>Regression-Covered</x:v>
      </x:c>
      <x:c r="P38" s="39" t="str"/>
      <x:c r="Q38" s="39" t="str"/>
      <x:c r="R38" s="39" t="str"/>
      <x:c r="S38" s="39" t="str">
        <x:v>Yes: repeated-scan event regression.</x:v>
      </x:c>
      <x:c r="T38" s="39" t="str">
        <x:v>Bounded event history is a small persistence concern; durable configuration remains Phase 2.</x:v>
      </x:c>
      <x:c r="U38" s="39" t="str">
        <x:v>src-tauri/src/core.rs:1220-1320; /Users/jakyeamos/Downloads/pronto_prd.md:699-717</x:v>
      </x:c>
      <x:c r="V38" s="39" t="str">
        <x:v>1</x:v>
      </x:c>
      <x:c r="W38" s="39" t="str">
        <x:v>d332573</x:v>
      </x:c>
      <x:c r="X38" s="39" t="str">
        <x:v>Expose retention settings and add date-boundary tests.</x:v>
      </x:c>
      <x:c r="Y38" s="39"/>
    </x:row>
  </x:sheetData>
  <x:mergeCells>
    <x:mergeCell ref="A1:Y1"/>
    <x:mergeCell ref="A2:Y2"/>
    <x:mergeCell ref="A3:Y3"/>
  </x:mergeCells>
  <x:conditionalFormatting sqref="O5:O38">
    <x:cfRule type="containsText" dxfId="0" priority="1" operator="containsText" text="Regression-Covered"/>
    <x:cfRule type="containsText" dxfId="1" priority="2" operator="containsText" text="Verified"/>
    <x:cfRule type="containsText" dxfId="2" priority="3" operator="containsText" text="Build verified"/>
    <x:cfRule type="containsText" dxfId="3" priority="4" operator="containsText" text="Needs-Environment"/>
    <x:cfRule type="containsText" dxfId="4" priority="5" operator="containsText" text="Needs-Product-Decision"/>
    <x:cfRule type="containsText" dxfId="5" priority="6" operator="containsText" text="Product decision"/>
    <x:cfRule type="containsText" dxfId="6" priority="7" operator="containsText" text="Deferred"/>
  </x:conditionalFormatting>
  <x:dataValidations count="1">
    <x:dataValidation type="list" sqref="O5:O38">
      <x:formula1>"Regression-Covered,Verified,Needs-Environment,Needs-Product-Decision,Deferred"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c7dcdb113f467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68" hidden="0" customWidth="1"/>
    <x:col min="6" max="6" width="28" hidden="0" customWidth="1"/>
  </x:cols>
  <x:sheetData>
    <x:row r="1" ht="30" customHeight="1">
      <x:c r="A1" s="4" t="str">
        <x:v>PRD coverage and explicit boundaries</x:v>
      </x:c>
      <x:c r="B1" s="4"/>
      <x:c r="C1" s="4"/>
      <x:c r="D1" s="4"/>
      <x:c r="E1" s="4"/>
      <x:c r="F1" s="4"/>
    </x:row>
    <x:row r="2" ht="26" customHeight="1">
      <x:c r="A2" s="8" t="str">
        <x:v>The local-first slice is measured against the PRD requirements and acceptance criteria. Deferred rows are deliberate boundaries, not hidden gaps. Source: /Users/jakyeamos/Downloads/pronto_prd.md</x:v>
      </x:c>
      <x:c r="B2" s="8"/>
      <x:c r="C2" s="8"/>
      <x:c r="D2" s="8"/>
      <x:c r="E2" s="8"/>
      <x:c r="F2" s="8"/>
    </x:row>
    <x:row r="4" ht="38" customHeight="1">
      <x:c r="A4" s="14" t="str">
        <x:v>Scope area</x:v>
      </x:c>
      <x:c r="B4" s="14" t="str">
        <x:v>PRD references</x:v>
      </x:c>
      <x:c r="C4" s="14" t="str">
        <x:v>Inventory IDs</x:v>
      </x:c>
      <x:c r="D4" s="14" t="str">
        <x:v>Status</x:v>
      </x:c>
      <x:c r="E4" s="14" t="str">
        <x:v>What is true now</x:v>
      </x:c>
      <x:c r="F4" s="14" t="str">
        <x:v>Next gate</x:v>
      </x:c>
    </x:row>
    <x:row r="5" ht="52" customHeight="1">
      <x:c r="A5" s="44" t="str">
        <x:v>Discovery and registry</x:v>
      </x:c>
      <x:c r="B5" s="36" t="str">
        <x:v>FR-001–010; AC-001</x:v>
      </x:c>
      <x:c r="C5" s="36" t="str">
        <x:v>DISC-001–004</x:v>
      </x:c>
      <x:c r="D5" s="36" t="str">
        <x:v>Partial / local</x:v>
      </x:c>
      <x:c r="E5" s="36" t="str">
        <x:v>Local roots, recursion, canonical dedup, and linked worktrees are implemented. Provider matching, remote-only, clone, lifecycle confirmation, and submodule promotion remain deferred.</x:v>
      </x:c>
      <x:c r="F5" s="37" t="str">
        <x:v>Phase 1 → Phase 2</x:v>
      </x:c>
    </x:row>
    <x:row r="6" ht="52" customHeight="1">
      <x:c r="A6" s="45" t="str">
        <x:v>GitHub accounts and identities</x:v>
      </x:c>
      <x:c r="B6" s="39" t="str">
        <x:v>FR-011–015; AC-002</x:v>
      </x:c>
      <x:c r="C6" s="39" t="str">
        <x:v>PROV-001</x:v>
      </x:c>
      <x:c r="D6" s="39" t="str">
        <x:v>Deferred</x:v>
      </x:c>
      <x:c r="E6" s="39" t="str">
        <x:v>Requires explicit identity mapping, OS credential storage, provider interface, and permission degradation.</x:v>
      </x:c>
      <x:c r="F6" s="40" t="str">
        <x:v>Phase 2</x:v>
      </x:c>
    </x:row>
    <x:row r="7" ht="52" customHeight="1">
      <x:c r="A7" s="45" t="str">
        <x:v>Local and remote state scanning</x:v>
      </x:c>
      <x:c r="B7" s="39" t="str">
        <x:v>FR-016–026; AC-004–007</x:v>
      </x:c>
      <x:c r="C7" s="39" t="str">
        <x:v>GIT-001–006</x:v>
      </x:c>
      <x:c r="D7" s="39" t="str">
        <x:v>Partial / local</x:v>
      </x:c>
      <x:c r="E7" s="39" t="str">
        <x:v>Local branch, upstream, dirty aggregate, operation markers, and no-implicit-fetch boundary are implemented. Fetch policy and provider freshness remain deferred.</x:v>
      </x:c>
      <x:c r="F7" s="40" t="str">
        <x:v>Phase 1 → Phase 2</x:v>
      </x:c>
    </x:row>
    <x:row r="8" ht="52" customHeight="1">
      <x:c r="A8" s="45" t="str">
        <x:v>Portfolio command center</x:v>
      </x:c>
      <x:c r="B8" s="39" t="str">
        <x:v>FR-027–031</x:v>
      </x:c>
      <x:c r="C8" s="39" t="str">
        <x:v>UI-001; UI-004–007</x:v>
      </x:c>
      <x:c r="D8" s="39" t="str">
        <x:v>Environment</x:v>
      </x:c>
      <x:c r="E8" s="39" t="str">
        <x:v>Portfolio-first renderer now includes truthful navigation, freshness, keyboard access, settings/activity surfaces, filters, and local empty states; live Tauri interaction remains to be verified.</x:v>
      </x:c>
      <x:c r="F8" s="40" t="str">
        <x:v>Phase 1 desktop verification</x:v>
      </x:c>
    </x:row>
    <x:row r="9" ht="52" customHeight="1">
      <x:c r="A9" s="45" t="str">
        <x:v>Attention queue and evidence</x:v>
      </x:c>
      <x:c r="B9" s="39" t="str">
        <x:v>FR-032–039; AC-008–010</x:v>
      </x:c>
      <x:c r="C9" s="39" t="str">
        <x:v>COND-001–002; UI-002; UI-007</x:v>
      </x:c>
      <x:c r="D9" s="39" t="str">
        <x:v>Partial / environment</x:v>
      </x:c>
      <x:c r="E9" s="39" t="str">
        <x:v>Deterministic grouped queue, evidence drawer, expected fingerprints, and distinct no-data/no-match states exist; live interaction still needs a desktop pass.</x:v>
      </x:c>
      <x:c r="F9" s="40" t="str">
        <x:v>Phase 1 desktop verification</x:v>
      </x:c>
    </x:row>
    <x:row r="10" ht="52" customHeight="1">
      <x:c r="A10" s="45" t="str">
        <x:v>Repository detail and branch roles</x:v>
      </x:c>
      <x:c r="B10" s="39" t="str">
        <x:v>FR-040–057; AC-011–014</x:v>
      </x:c>
      <x:c r="C10" s="39" t="str">
        <x:v>GIT-005; UI-002</x:v>
      </x:c>
      <x:c r="D10" s="39" t="str">
        <x:v>Partial / local</x:v>
      </x:c>
      <x:c r="E10" s="39" t="str">
        <x:v>Local workspace/branch evidence and integration heuristics exist. User corrections and safe cleanup actions are deferred.</x:v>
      </x:c>
      <x:c r="F10" s="40" t="str">
        <x:v>Phase 2</x:v>
      </x:c>
    </x:row>
    <x:row r="11" ht="52" customHeight="1">
      <x:c r="A11" s="45" t="str">
        <x:v>Agent workspaces</x:v>
      </x:c>
      <x:c r="B11" s="39" t="str">
        <x:v>FR-058–064; AC-011–014</x:v>
      </x:c>
      <x:c r="C11" s="39" t="str">
        <x:v>PROC-001</x:v>
      </x:c>
      <x:c r="D11" s="39" t="str">
        <x:v>Deferred</x:v>
      </x:c>
      <x:c r="E11" s="39" t="str">
        <x:v>Linked worktrees are represented; process, terminal, manifest, and confidence adapters require OS-specific design and permission.</x:v>
      </x:c>
      <x:c r="F11" s="40" t="str">
        <x:v>Phase 2</x:v>
      </x:c>
    </x:row>
    <x:row r="12" ht="52" customHeight="1">
      <x:c r="A12" s="45" t="str">
        <x:v>Safe actions and permission model</x:v>
      </x:c>
      <x:c r="B12" s="39" t="str">
        <x:v>FR-065–070; AC-015–018</x:v>
      </x:c>
      <x:c r="C12" s="39" t="str">
        <x:v>SAFE-001; ACTION-001</x:v>
      </x:c>
      <x:c r="D12" s="39" t="str">
        <x:v>Read-only only</x:v>
      </x:c>
      <x:c r="E12" s="39" t="str">
        <x:v>Structured Git boundary and prohibited-action absence are verified. Modifying actions require fresh preflight, audit, and exact-target contracts.</x:v>
      </x:c>
      <x:c r="F12" s="40" t="str">
        <x:v>Phase 2</x:v>
      </x:c>
    </x:row>
    <x:row r="13" ht="52" customHeight="1">
      <x:c r="A13" s="45" t="str">
        <x:v>Pull requests</x:v>
      </x:c>
      <x:c r="B13" s="39" t="str">
        <x:v>FR-071–077; AC-019–020</x:v>
      </x:c>
      <x:c r="C13" s="39" t="str">
        <x:v>PR-001</x:v>
      </x:c>
      <x:c r="D13" s="39" t="str">
        <x:v>Deferred</x:v>
      </x:c>
      <x:c r="E13" s="39" t="str">
        <x:v>Provider-backed PR state and merge eligibility are not implemented.</x:v>
      </x:c>
      <x:c r="F13" s="40" t="str">
        <x:v>Phase 3</x:v>
      </x:c>
    </x:row>
    <x:row r="14" ht="52" customHeight="1">
      <x:c r="A14" s="45" t="str">
        <x:v>Release intelligence and preparation</x:v>
      </x:c>
      <x:c r="B14" s="39" t="str">
        <x:v>FR-078–095; AC-021–027</x:v>
      </x:c>
      <x:c r="C14" s="39" t="str">
        <x:v>REL-001</x:v>
      </x:c>
      <x:c r="D14" s="39" t="str">
        <x:v>Deferred</x:v>
      </x:c>
      <x:c r="E14" s="39" t="str">
        <x:v>Deterministic release rules, isolated release worktrees, validation, and draft handoff are not implemented.</x:v>
      </x:c>
      <x:c r="F14" s="40" t="str">
        <x:v>Phase 3</x:v>
      </x:c>
    </x:row>
    <x:row r="15" ht="52" customHeight="1">
      <x:c r="A15" s="45" t="str">
        <x:v>Products and groups</x:v>
      </x:c>
      <x:c r="B15" s="39" t="str">
        <x:v>FR-096–101</x:v>
      </x:c>
      <x:c r="C15" s="39" t="str">
        <x:v>GROUP-001</x:v>
      </x:c>
      <x:c r="D15" s="39" t="str">
        <x:v>Deferred</x:v>
      </x:c>
      <x:c r="E15" s="39" t="str">
        <x:v>Manual product/group configuration is the accepted direction; aggregation and coordinated release remain deferred until the durable state model is implemented.</x:v>
      </x:c>
      <x:c r="F15" s="40" t="str">
        <x:v>Phase 2 design gate</x:v>
      </x:c>
    </x:row>
    <x:row r="16" ht="52" customHeight="1">
      <x:c r="A16" s="45" t="str">
        <x:v>AI and privacy</x:v>
      </x:c>
      <x:c r="B16" s="39" t="str">
        <x:v>FR-102–108; AC-028–029</x:v>
      </x:c>
      <x:c r="C16" s="39" t="str">
        <x:v>DISC-004; AI-001</x:v>
      </x:c>
      <x:c r="D16" s="39" t="str">
        <x:v>Privacy boundary</x:v>
      </x:c>
      <x:c r="E16" s="39" t="str">
        <x:v>AI is disabled by default; local snapshots avoid filenames and diff content. Provider payload preview and per-repository permission remain intentionally absent.</x:v>
      </x:c>
      <x:c r="F16" s="40" t="str">
        <x:v>Phase 2 decision gate</x:v>
      </x:c>
    </x:row>
    <x:row r="17" ht="52" customHeight="1">
      <x:c r="A17" s="45" t="str">
        <x:v>Activity history</x:v>
      </x:c>
      <x:c r="B17" s="39" t="str">
        <x:v>FR-109–112; AC-031–032</x:v>
      </x:c>
      <x:c r="C17" s="39" t="str">
        <x:v>AUD-001; HIST-001; UI-006</x:v>
      </x:c>
      <x:c r="D17" s="39" t="str">
        <x:v>Partial / local</x:v>
      </x:c>
      <x:c r="E17" s="39" t="str">
        <x:v>Transition-only metadata history and bounded pruning are implemented and surfaced in Activity; configurable retention and future schema migrations remain deferred.</x:v>
      </x:c>
      <x:c r="F17" s="40" t="str">
        <x:v>Phase 2</x:v>
      </x:c>
    </x:row>
    <x:row r="18" ht="52" customHeight="1">
      <x:c r="A18" s="45" t="str">
        <x:v>Companion CLI</x:v>
      </x:c>
      <x:c r="B18" s="39" t="str">
        <x:v>FR-113–117; AC-033</x:v>
      </x:c>
      <x:c r="C18" s="39" t="str">
        <x:v>CLI-001–002</x:v>
      </x:c>
      <x:c r="D18" s="39" t="str">
        <x:v>Read-only verified</x:v>
      </x:c>
      <x:c r="E18" s="39" t="str">
        <x:v>Shared Rust core powers human/JSON status and the Node wrapper; desktop focus and policy expansion await action work.</x:v>
      </x:c>
      <x:c r="F18" s="40" t="str">
        <x:v>Phase 1</x:v>
      </x:c>
    </x:row>
    <x:row r="19" ht="52" customHeight="1">
      <x:c r="A19" s="46" t="str">
        <x:v>Desktop distribution</x:v>
      </x:c>
      <x:c r="B19" s="42" t="str">
        <x:v>Sections 9, 16.1; AC desktop behavior</x:v>
      </x:c>
      <x:c r="C19" s="42" t="str">
        <x:v>BUILD-001</x:v>
      </x:c>
      <x:c r="D19" s="42" t="str">
        <x:v>Build verified</x:v>
      </x:c>
      <x:c r="E19" s="42" t="str">
        <x:v>Tauri app and macOS DMG build locally; signing/notarization and cross-platform bundles remain outside this run.</x:v>
      </x:c>
      <x:c r="F19" s="43" t="str">
        <x:v>Phase 1 build</x:v>
      </x:c>
    </x:row>
  </x:sheetData>
  <x:mergeCells>
    <x:mergeCell ref="A1:F1"/>
    <x:mergeCell ref="A2:F2"/>
  </x:mergeCells>
  <x:conditionalFormatting sqref="D5:D19">
    <x:cfRule type="containsText" dxfId="7" priority="1" operator="containsText" text="Regression-Covered"/>
    <x:cfRule type="containsText" dxfId="8" priority="2" operator="containsText" text="Verified"/>
    <x:cfRule type="containsText" dxfId="9" priority="3" operator="containsText" text="Build verified"/>
    <x:cfRule type="containsText" dxfId="10" priority="4" operator="containsText" text="Needs-Environment"/>
    <x:cfRule type="containsText" dxfId="11" priority="5" operator="containsText" text="Needs-Product-Decision"/>
    <x:cfRule type="containsText" dxfId="12" priority="6" operator="containsText" text="Product decision"/>
    <x:cfRule type="containsText" dxfId="13" priority="7" operator="containsText" text="Deferred"/>
  </x:conditionalFormatting>
  <x:dataValidations count="1">
    <x:dataValidation type="list" sqref="D5:D19">
      <x:formula1>"Partial / local,Partial / environment,Deferred,Read-only only,Privacy boundary,Product decision,Read-only verified,Build 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6a473fff6b4fa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  <x:col min="5" max="5" width="22" hidden="0" customWidth="1"/>
    <x:col min="6" max="6" width="42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0" customHeight="1">
      <x:c r="A1" s="4" t="str">
        <x:v>Review, plan, and verification gates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6" customHeight="1">
      <x:c r="A2" s="8" t="str">
        <x:v>Implementation commit: d332573 | PRD reviewed: 2026-07-25 | Current slice favors proof of local behavior over unverified provider breadth.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30" customHeight="1">
      <x:c r="A4" s="55" t="str">
        <x:v>Inventory rows</x:v>
      </x:c>
      <x:c r="B4" s="55"/>
      <x:c r="C4" s="55" t="str">
        <x:v>Regression-covered</x:v>
      </x:c>
      <x:c r="D4" s="55"/>
      <x:c r="E4" s="55" t="str">
        <x:v>Verified/build</x:v>
      </x:c>
      <x:c r="F4" s="55"/>
      <x:c r="G4" s="55" t="str">
        <x:v>Needs environment</x:v>
      </x:c>
      <x:c r="H4" s="55"/>
      <x:c r="I4" s="55" t="str">
        <x:v>Product decisions</x:v>
      </x:c>
      <x:c r="J4" s="55"/>
      <x:c r="K4" s="55" t="str">
        <x:v>Evidence coverage</x:v>
      </x:c>
      <x:c r="L4" s="55"/>
    </x:row>
    <x:row r="5" ht="30" customHeight="1">
      <x:c r="A5" s="61" t="n">
        <x:f>COUNTA('Behavior Inventory'!$A$5:$A$38)</x:f>
        <x:v>34</x:v>
      </x:c>
      <x:c r="B5" s="62"/>
      <x:c r="C5" s="61" t="n">
        <x:f>COUNTIF('Behavior Inventory'!$O$5:$O$38,"Regression-Covered")</x:f>
        <x:v>13</x:v>
      </x:c>
      <x:c r="D5" s="62"/>
      <x:c r="E5" s="61" t="n">
        <x:f>COUNTIF('Behavior Inventory'!$O$5:$O$38,"Verified")+COUNTIF('Behavior Inventory'!$O$5:$O$38,"Build verified")</x:f>
        <x:v>5</x:v>
      </x:c>
      <x:c r="F5" s="62"/>
      <x:c r="G5" s="61" t="n">
        <x:f>COUNTIF('Behavior Inventory'!$O$5:$O$38,"Needs-Environment")</x:f>
        <x:v>14</x:v>
      </x:c>
      <x:c r="H5" s="62"/>
      <x:c r="I5" s="61" t="n">
        <x:f>COUNTIF('Behavior Inventory'!$O$5:$O$38,"Needs-Product-Decision")</x:f>
        <x:v>0</x:v>
      </x:c>
      <x:c r="J5" s="62"/>
      <x:c r="K5" s="63" t="n">
        <x:f>(C5+E5+G5)/(A5)</x:f>
        <x:v>0.9411764705882353</x:v>
      </x:c>
      <x:c r="L5" s="64"/>
    </x:row>
    <x:row r="8" ht="22" customHeight="1">
      <x:c r="A8" s="66" t="str">
        <x:v>Delivery phases</x:v>
      </x:c>
      <x:c r="B8" s="66"/>
      <x:c r="C8" s="66"/>
      <x:c r="D8" s="66"/>
      <x:c r="E8" s="66"/>
      <x:c r="F8" s="66"/>
    </x:row>
    <x:row r="9" ht="38" customHeight="1">
      <x:c r="A9" s="14" t="str">
        <x:v>Phase</x:v>
      </x:c>
      <x:c r="B9" s="14" t="str">
        <x:v>Outcome</x:v>
      </x:c>
      <x:c r="C9" s="14" t="str">
        <x:v>Key work</x:v>
      </x:c>
      <x:c r="D9" s="14" t="str">
        <x:v>Gate</x:v>
      </x:c>
      <x:c r="E9" s="14" t="str">
        <x:v>Status</x:v>
      </x:c>
      <x:c r="F9" s="14" t="str">
        <x:v>Notes</x:v>
      </x:c>
    </x:row>
    <x:row r="10" ht="54" customHeight="1">
      <x:c r="A10" s="35" t="str">
        <x:v>Phase 1</x:v>
      </x:c>
      <x:c r="B10" s="36" t="str">
        <x:v>Local evidence foundation</x:v>
      </x:c>
      <x:c r="C10" s="36" t="str">
        <x:v>Discovery, structured Git facts, explainable conditions, expected fingerprints, transition history, portfolio UI, truthful local navigation, read-only CLI</x:v>
      </x:c>
      <x:c r="D10" s="36" t="str">
        <x:v>cargo test; typecheck; lint; build:web; CLI smoke; Pre-CR</x:v>
      </x:c>
      <x:c r="E10" s="36" t="str">
        <x:v>Complete</x:v>
      </x:c>
      <x:c r="F10" s="37" t="str">
        <x:v>Local UX slice is implemented at 885fe1e; workbook review is this iteration.</x:v>
      </x:c>
    </x:row>
    <x:row r="11" ht="54" customHeight="1">
      <x:c r="A11" s="38" t="str">
        <x:v>Phase 2</x:v>
      </x:c>
      <x:c r="B11" s="39" t="str">
        <x:v>Provider and safe action expansion</x:v>
      </x:c>
      <x:c r="C11" s="39" t="str">
        <x:v>GitHub identities, fetch/refresh freshness, remote catalog/clone, process adapters, action preflight/audit</x:v>
      </x:c>
      <x:c r="D11" s="39" t="str">
        <x:v>Provider permission and action audit design review</x:v>
      </x:c>
      <x:c r="E11" s="39" t="str">
        <x:v>Deferred</x:v>
      </x:c>
      <x:c r="F11" s="40" t="str">
        <x:v>Versioned SQLite is complete; read-only GitHub and safe local actions follow explicit contracts.</x:v>
      </x:c>
    </x:row>
    <x:row r="12" ht="54" customHeight="1">
      <x:c r="A12" s="41" t="str">
        <x:v>Phase 3</x:v>
      </x:c>
      <x:c r="B12" s="42" t="str">
        <x:v>Pull requests and releases</x:v>
      </x:c>
      <x:c r="C12" s="42" t="str">
        <x:v>PR evidence, merge eligibility, deterministic release rules, isolated release worktrees, products/groups</x:v>
      </x:c>
      <x:c r="D12" s="42" t="str">
        <x:v>End-to-end provider and release recipe acceptance</x:v>
      </x:c>
      <x:c r="E12" s="42" t="str">
        <x:v>Deferred</x:v>
      </x:c>
      <x:c r="F12" s="43" t="str">
        <x:v>No publish or merge authority is assumed in Phase 1.</x:v>
      </x:c>
    </x:row>
    <x:row r="16" ht="22" customHeight="1">
      <x:c r="A16" s="66" t="str">
        <x:v>Verification matrix</x:v>
      </x:c>
      <x:c r="B16" s="66"/>
      <x:c r="C16" s="66"/>
      <x:c r="D16" s="66"/>
    </x:row>
    <x:row r="17" ht="38" customHeight="1">
      <x:c r="A17" s="14" t="str">
        <x:v>Command / action</x:v>
      </x:c>
      <x:c r="B17" s="14" t="str">
        <x:v>Purpose</x:v>
      </x:c>
      <x:c r="C17" s="14" t="str">
        <x:v>Observed</x:v>
      </x:c>
      <x:c r="D17" s="14" t="str">
        <x:v>Notes</x:v>
      </x:c>
    </x:row>
    <x:row r="18" ht="32" customHeight="1">
      <x:c r="A18" s="35" t="str">
        <x:v>pnpm typecheck</x:v>
      </x:c>
      <x:c r="B18" s="36" t="str">
        <x:v>Renderer and Tauri-facing TypeScript contracts</x:v>
      </x:c>
      <x:c r="C18" s="36" t="str">
        <x:v>Pass</x:v>
      </x:c>
      <x:c r="D18" s="37" t="str">
        <x:v>TypeScript 5.9.3; strict checks</x:v>
      </x:c>
    </x:row>
    <x:row r="19" ht="32" customHeight="1">
      <x:c r="A19" s="38" t="str">
        <x:v>pnpm lint</x:v>
      </x:c>
      <x:c r="B19" s="39" t="str">
        <x:v>ESLint source quality</x:v>
      </x:c>
      <x:c r="C19" s="39" t="str">
        <x:v>Pass</x:v>
      </x:c>
      <x:c r="D19" s="40" t="str">
        <x:v>No errors</x:v>
      </x:c>
    </x:row>
    <x:row r="20" ht="32" customHeight="1">
      <x:c r="A20" s="38" t="str">
        <x:v>pnpm exec prettier --check .</x:v>
      </x:c>
      <x:c r="B20" s="39" t="str">
        <x:v>Formatting</x:v>
      </x:c>
      <x:c r="C20" s="39" t="str">
        <x:v>Pass</x:v>
      </x:c>
      <x:c r="D20" s="40" t="str">
        <x:v>Generated .aios and .pre-cr artifacts ignored</x:v>
      </x:c>
    </x:row>
    <x:row r="21" ht="32" customHeight="1">
      <x:c r="A21" s="38" t="str">
        <x:v>GIT_INDEX_FILE=.git/index pnpm test</x:v>
      </x:c>
      <x:c r="B21" s="39" t="str">
        <x:v>Rust regressions + Vitest</x:v>
      </x:c>
      <x:c r="C21" s="39" t="str">
        <x:v>Pass</x:v>
      </x:c>
      <x:c r="D21" s="40" t="str">
        <x:v>6 Rust tests; Vitest no test files</x:v>
      </x:c>
    </x:row>
    <x:row r="22" ht="32" customHeight="1">
      <x:c r="A22" s="38" t="str">
        <x:v>cargo check --manifest-path src-tauri/Cargo.toml</x:v>
      </x:c>
      <x:c r="B22" s="39" t="str">
        <x:v>Native compilation</x:v>
      </x:c>
      <x:c r="C22" s="39" t="str">
        <x:v>Pass</x:v>
      </x:c>
      <x:c r="D22" s="40" t="str">
        <x:v>Rust 1.97.1</x:v>
      </x:c>
    </x:row>
    <x:row r="23" ht="32" customHeight="1">
      <x:c r="A23" s="38" t="str">
        <x:v>pnpm cli:json</x:v>
      </x:c>
      <x:c r="B23" s="39" t="str">
        <x:v>Shared CLI snapshot</x:v>
      </x:c>
      <x:c r="C23" s="39" t="str">
        <x:v>Pass</x:v>
      </x:c>
      <x:c r="D23" s="40" t="str">
        <x:v>JSON output</x:v>
      </x:c>
    </x:row>
    <x:row r="24" ht="32" customHeight="1">
      <x:c r="A24" s="38" t="str">
        <x:v>pnpm build:web</x:v>
      </x:c>
      <x:c r="B24" s="39" t="str">
        <x:v>Renderer production build</x:v>
      </x:c>
      <x:c r="C24" s="39" t="str">
        <x:v>Pass</x:v>
      </x:c>
      <x:c r="D24" s="40" t="str">
        <x:v>Vite production bundle emitted after the local UX slice</x:v>
      </x:c>
    </x:row>
    <x:row r="25" ht="32" customHeight="1">
      <x:c r="A25" s="38" t="str">
        <x:v>pnpm build</x:v>
      </x:c>
      <x:c r="B25" s="39" t="str">
        <x:v>Tauri app and DMG</x:v>
      </x:c>
      <x:c r="C25" s="39" t="str">
        <x:v>Pass</x:v>
      </x:c>
      <x:c r="D25" s="40" t="str">
        <x:v>Pronto.app and Pronto_0.1.0_aarch64.dmg emitted</x:v>
      </x:c>
    </x:row>
    <x:row r="26" ht="32" customHeight="1">
      <x:c r="A26" s="38" t="str">
        <x:v>pre-cr run --workspace .</x:v>
      </x:c>
      <x:c r="B26" s="39" t="str">
        <x:v>Commit readiness / anti-slop</x:v>
      </x:c>
      <x:c r="C26" s="39" t="str">
        <x:v>Pass</x:v>
      </x:c>
      <x:c r="D26" s="40" t="str">
        <x:v>0% threshold; no-instrumentation adapter explicit</x:v>
      </x:c>
    </x:row>
    <x:row r="27" ht="32" customHeight="1">
      <x:c r="A27" s="41" t="str">
        <x:v>git diff --check</x:v>
      </x:c>
      <x:c r="B27" s="42" t="str">
        <x:v>Whitespace and patch hygiene</x:v>
      </x:c>
      <x:c r="C27" s="42" t="str">
        <x:v>Pass</x:v>
      </x:c>
      <x:c r="D27" s="43" t="str">
        <x:v>No whitespace errors</x:v>
      </x:c>
    </x:row>
    <x:row r="30" ht="22" customHeight="1">
      <x:c r="A30" s="66" t="str">
        <x:v>Review notes</x:v>
      </x:c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 ht="26" customHeight="1">
      <x:c r="A31" s="8" t="str">
        <x:v>The accepted direction is now explicit: local UX first, SQLite before provider data, read-only GitHub initially, safe non-destructive local actions, macOS first, AI disabled, and manual products/groups. The local UX and durable-state slices are implemented; the next safe expansion is action preflight/audit, followed by read-only provider context.</x:v>
      </x:c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</x:row>
    <x:row r="32" ht="26" customHeight="1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</x:row>
  </x:sheetData>
  <x:mergeCells>
    <x:mergeCell ref="A1:L1"/>
    <x:mergeCell ref="A2:L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  <x:mergeCell ref="K4:L4"/>
    <x:mergeCell ref="K5:L5"/>
    <x:mergeCell ref="A8:F8"/>
    <x:mergeCell ref="A16:D16"/>
    <x:mergeCell ref="A30:L30"/>
    <x:mergeCell ref="A31:L32"/>
  </x:mergeCells>
  <x:conditionalFormatting sqref="E10:E12">
    <x:cfRule type="containsText" dxfId="14" priority="1" operator="containsText" text="Regression-Covered"/>
    <x:cfRule type="containsText" dxfId="15" priority="2" operator="containsText" text="Verified"/>
    <x:cfRule type="containsText" dxfId="16" priority="3" operator="containsText" text="Build verified"/>
    <x:cfRule type="containsText" dxfId="17" priority="4" operator="containsText" text="Needs-Environment"/>
    <x:cfRule type="containsText" dxfId="18" priority="5" operator="containsText" text="Needs-Product-Decision"/>
    <x:cfRule type="containsText" dxfId="19" priority="6" operator="containsText" text="Product decision"/>
    <x:cfRule type="containsText" dxfId="20" priority="7" operator="containsText" text="Deferred"/>
  </x:conditionalFormatting>
  <x:conditionalFormatting sqref="C18:C27">
    <x:cfRule type="containsText" dxfId="21" priority="8" operator="containsText" text="Regression-Covered"/>
    <x:cfRule type="containsText" dxfId="22" priority="9" operator="containsText" text="Verified"/>
    <x:cfRule type="containsText" dxfId="23" priority="10" operator="containsText" text="Build verified"/>
    <x:cfRule type="containsText" dxfId="24" priority="11" operator="containsText" text="Needs-Environment"/>
    <x:cfRule type="containsText" dxfId="25" priority="12" operator="containsText" text="Needs-Product-Decision"/>
    <x:cfRule type="containsText" dxfId="26" priority="13" operator="containsText" text="Product decision"/>
    <x:cfRule type="containsText" dxfId="27" priority="14" operator="containsText" text="Deferred"/>
  </x:conditionalFormatting>
  <x:pageMargins left="0.7" right="0.7" top="0.75" bottom="0.75" header="0.3" footer="0.3"/>
</x:worksheet>
</file>