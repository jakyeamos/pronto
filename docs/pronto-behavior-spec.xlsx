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f16196aef84950" /></Relationships>
</file>

<file path=xl/workbook.xml><?xml version="1.0" encoding="utf-8"?>
<x:workbook xmlns:x="http://schemas.openxmlformats.org/spreadsheetml/2006/main">
  <x:sheets>
    <x:sheet xmlns:r="http://schemas.openxmlformats.org/officeDocument/2006/relationships" name="Behavior Inventory" sheetId="1" r:id="R7e99967b88404b0f"/>
    <x:sheet xmlns:r="http://schemas.openxmlformats.org/officeDocument/2006/relationships" name="Coverage &amp; Boundaries" sheetId="2" r:id="Rdc4aaf7d49614ff6"/>
    <x:sheet xmlns:r="http://schemas.openxmlformats.org/officeDocument/2006/relationships" name="Review &amp; Plan" sheetId="3" r:id="R1f9dd747f18b4a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8">
    <x:font>
      <x:sz val="11"/>
      <x:name val="Carlito"/>
    </x:font>
    <x:font>
      <x:b/>
      <x:sz val="16"/>
      <x:color rgb="FFFFFFFF"/>
      <x:name val="Carlito"/>
    </x:font>
    <x:font>
      <x:i/>
      <x:sz val="9"/>
      <x:color rgb="FF526174"/>
      <x:name val="Carlito"/>
    </x:font>
    <x:font>
      <x:b/>
      <x:sz val="9"/>
      <x:color rgb="FFFFFFFF"/>
      <x:name val="Carlito"/>
    </x:font>
    <x:font>
      <x:sz val="9"/>
      <x:color rgb="FF172033"/>
      <x:name val="Carlito"/>
    </x:font>
    <x:font>
      <x:b/>
      <x:sz val="9"/>
      <x:color rgb="FF0F766E"/>
      <x:name val="Carlito"/>
    </x:font>
    <x:font>
      <x:b/>
      <x:sz val="18"/>
      <x:color rgb="FF0F172A"/>
      <x:name val="Carlito"/>
    </x:font>
    <x:font>
      <x:b/>
      <x:sz val="10"/>
      <x:color rgb="FF0F766E"/>
      <x:name val="Carlito"/>
    </x:font>
  </x:fonts>
  <x:fills count="7">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0F766E"/>
      </x:patternFill>
    </x:fill>
    <x:fill>
      <x:patternFill patternType="solid">
        <x:fgColor rgb="FFFFFFFF"/>
      </x:patternFill>
    </x:fill>
    <x:fill>
      <x:patternFill patternType="solid">
        <x:fgColor rgb="FFCCFBF1"/>
      </x:patternFill>
    </x:fill>
  </x:fills>
  <x:borders count="14">
    <x:border/>
    <x:border>
      <x:left style="thin">
        <x:color rgb="FFFFFFFF"/>
      </x:left>
      <x:right style="thin">
        <x:color rgb="FFFFFFFF"/>
      </x:right>
      <x:top style="thin">
        <x:color rgb="FFFFFFFF"/>
      </x:top>
      <x:bottom style="thin">
        <x:color rgb="FFFFFFFF"/>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left style="thin">
        <x:color rgb="FFCBD5E1"/>
      </x:left>
      <x:right style="thin">
        <x:color rgb="FFFFFFFF"/>
      </x:right>
      <x:top style="thin">
        <x:color rgb="FFCBD5E1"/>
      </x:top>
      <x:bottom style="thin">
        <x:color rgb="FFFFFFFF"/>
      </x:bottom>
    </x:border>
    <x:border>
      <x:left style="thin">
        <x:color rgb="FFFFFFFF"/>
      </x:left>
      <x:right style="thin">
        <x:color rgb="FFFFFFFF"/>
      </x:right>
      <x:top style="thin">
        <x:color rgb="FFCBD5E1"/>
      </x:top>
      <x:bottom style="thin">
        <x:color rgb="FFFFFFFF"/>
      </x:bottom>
    </x:border>
    <x:border>
      <x:left style="thin">
        <x:color rgb="FFFFFFFF"/>
      </x:left>
      <x:right style="thin">
        <x:color rgb="FFCBD5E1"/>
      </x:right>
      <x:top style="thin">
        <x:color rgb="FFCBD5E1"/>
      </x:top>
      <x:bottom style="thin">
        <x:color rgb="FFFFFFFF"/>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5" fillId="5" borderId="3"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6" fillId="5" borderId="0" xfId="0" applyNumberFormat="1" applyFont="1" applyFill="1" applyBorder="1"/>
    <x:xf numFmtId="0" fontId="6" fillId="5" borderId="7" xfId="0" applyNumberFormat="1" applyFont="1" applyFill="1" applyBorder="1"/>
    <x:xf numFmtId="0" fontId="6" fillId="5" borderId="5" xfId="0" applyNumberFormat="1" applyFont="1" applyFill="1" applyBorder="1"/>
    <x:xf numFmtId="0" fontId="6" fillId="5" borderId="7" xfId="0" applyNumberFormat="1" applyFont="1" applyFill="1" applyBorder="1" applyAlignment="1">
      <x:alignment horizontal="center"/>
    </x:xf>
    <x:xf numFmtId="0" fontId="6" fillId="5" borderId="5" xfId="0" applyNumberFormat="1" applyFont="1" applyFill="1" applyBorder="1" applyAlignment="1">
      <x:alignment horizontal="center"/>
    </x:xf>
    <x:xf numFmtId="0" fontId="6" fillId="5" borderId="7"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7"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7" fillId="6" borderId="0" xfId="0" applyNumberFormat="1" applyFont="1" applyFill="1" applyBorder="1"/>
    <x:xf numFmtId="0" fontId="7" fillId="6" borderId="0" xfId="0" applyNumberFormat="1" applyFont="1" applyFill="1" applyBorder="1" applyAlignment="1">
      <x:alignment vertical="center"/>
    </x:xf>
  </x:cellXfs>
  <x:cellStyles count="1">
    <x:cellStyle name="Normal" xfId="0"/>
  </x:cellStyles>
  <x:dxfs count="28">
    <x:dxf>
      <x:font>
        <x:b/>
        <x:color rgb="FF166534"/>
      </x:font>
      <x:fill>
        <x:patternFill patternType="solid">
          <x:bgColor rgb="FFDCFCE7"/>
        </x:patternFill>
      </x:fill>
    </x:dxf>
    <x:dxf>
      <x:font>
        <x:b/>
        <x:color rgb="FF1D4ED8"/>
      </x:font>
      <x:fill>
        <x:patternFill patternType="solid">
          <x:bgColor rgb="FFDBEAFE"/>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D28D9"/>
      </x:font>
      <x:fill>
        <x:patternFill patternType="solid">
          <x:bgColor rgb="FFEDE9FE"/>
        </x:patternFill>
      </x:fill>
    </x:dxf>
    <x:dxf>
      <x:font>
        <x:b/>
        <x:color rgb="FF6D28D9"/>
      </x:font>
      <x:fill>
        <x:patternFill patternType="solid">
          <x:bgColor rgb="FFEDE9FE"/>
        </x:patternFill>
      </x:fill>
    </x:dxf>
    <x:dxf>
      <x:font>
        <x:b/>
        <x:color rgb="FF6D28D9"/>
      </x:font>
      <x:fill>
        <x:patternFill patternType="solid">
          <x:bgColor rgb="FF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f3b97b2aa348eb" /><Relationship Type="http://schemas.openxmlformats.org/officeDocument/2006/relationships/theme" Target="/xl/theme/theme1.xml" Id="R646e6cf09fd1468a" /><Relationship Type="http://schemas.openxmlformats.org/officeDocument/2006/relationships/sharedStrings" Target="/xl/sharedStrings.xml" Id="Rdb55cc4639db4399" /><Relationship Type="http://schemas.openxmlformats.org/officeDocument/2006/relationships/worksheet" Target="/xl/worksheets/sheet1.xml" Id="R7e99967b88404b0f" /><Relationship Type="http://schemas.openxmlformats.org/officeDocument/2006/relationships/worksheet" Target="/xl/worksheets/sheet2.xml" Id="Rdc4aaf7d49614ff6" /><Relationship Type="http://schemas.openxmlformats.org/officeDocument/2006/relationships/worksheet" Target="/xl/worksheets/sheet3.xml" Id="R1f9dd747f18b4a7e" /></Relationships>
</file>

<file path=xl/tables/table1.xml><?xml version="1.0" encoding="utf-8"?>
<x:table xmlns:x="http://schemas.openxmlformats.org/spreadsheetml/2006/main" id="1" name="BehaviorInventoryTable" displayName="BehaviorInventoryTable" ref="A4:Y40" headerRowCount="1" totalsRowCount="0" totalsRowShown="0">
  <x:tableColumns count="25">
    <x:tableColumn id="1" name="Feature ID"/>
    <x:tableColumn id="2" name="Area"/>
    <x:tableColumn id="3" name="Surface"/>
    <x:tableColumn id="4" name="User story"/>
    <x:tableColumn id="5" name="Persona / role"/>
    <x:tableColumn id="6" name="Auth state"/>
    <x:tableColumn id="7" name="Data precondition"/>
    <x:tableColumn id="8" name="Viewport"/>
    <x:tableColumn id="9" name="Expected behavior from code"/>
    <x:tableColumn id="10" name="User-acceptable behavior"/>
    <x:tableColumn id="11" name="Source files/functions"/>
    <x:tableColumn id="12" name="Test method"/>
    <x:tableColumn id="13" name="Test command/actions"/>
    <x:tableColumn id="14" name="Observed behavior"/>
    <x:tableColumn id="15" name="Status"/>
    <x:tableColumn id="16" name="Defect ID"/>
    <x:tableColumn id="17" name="Defect type"/>
    <x:tableColumn id="18" name="Root cause"/>
    <x:tableColumn id="19" name="Fix summary"/>
    <x:tableColumn id="20" name="Regression test added"/>
    <x:tableColumn id="21" name="Complexity review"/>
    <x:tableColumn id="22" name="Evidence"/>
    <x:tableColumn id="23" name="Iteration"/>
    <x:tableColumn id="24" name="Last tested commit"/>
    <x:tableColumn id="25" name="Open question / notes"/>
  </x:tableColumns>
  <x:tableStyleInfo name="TableStyleMedium2" showFirstColumn="0" showLastColumn="0" showRowStripes="1" showColumnStripes="0"/>
</x:table>
</file>

<file path=xl/tables/table2.xml><?xml version="1.0" encoding="utf-8"?>
<x:table xmlns:x="http://schemas.openxmlformats.org/spreadsheetml/2006/main" id="2" name="CoverageBoundaryTable" displayName="CoverageBoundaryTable" ref="A4:F19" headerRowCount="1" totalsRowCount="0" totalsRowShown="0">
  <x:tableColumns count="6">
    <x:tableColumn id="1" name="Scope area"/>
    <x:tableColumn id="2" name="PRD references"/>
    <x:tableColumn id="3" name="Inventory IDs"/>
    <x:tableColumn id="4" name="Status"/>
    <x:tableColumn id="5" name="What is true now"/>
    <x:tableColumn id="6" name="Next g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6958eba9984929" /></Relationships>
</file>

<file path=xl/worksheets/_rels/sheet2.xml.rels>&#65279;<?xml version="1.0" encoding="utf-8"?><Relationships xmlns="http://schemas.openxmlformats.org/package/2006/relationships"><Relationship Type="http://schemas.openxmlformats.org/officeDocument/2006/relationships/table" Target="/xl/tables/table2.xml" Id="Rb685b397b174427d"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22" hidden="0" customWidth="1"/>
    <x:col min="4" max="4" width="28" hidden="0" customWidth="1"/>
    <x:col min="5" max="5" width="18" hidden="0" customWidth="1"/>
    <x:col min="6" max="6" width="15" hidden="0" customWidth="1"/>
    <x:col min="7" max="7" width="25" hidden="0" customWidth="1"/>
    <x:col min="8" max="8" width="18" hidden="0" customWidth="1"/>
    <x:col min="9" max="9" width="36" hidden="0" customWidth="1"/>
    <x:col min="10" max="10" width="32" hidden="0" customWidth="1"/>
    <x:col min="11" max="11" width="42" hidden="0" customWidth="1"/>
    <x:col min="12" max="12" width="22" hidden="0" customWidth="1"/>
    <x:col min="13" max="13" width="32" hidden="0" customWidth="1"/>
    <x:col min="14" max="14" width="34" hidden="0" customWidth="1"/>
    <x:col min="15" max="15" width="22" hidden="0" customWidth="1"/>
    <x:col min="16" max="16" width="12" hidden="0" customWidth="1"/>
    <x:col min="17" max="17" width="17" hidden="0" customWidth="1"/>
    <x:col min="18" max="18" width="28" hidden="0" customWidth="1"/>
    <x:col min="19" max="19" width="30" hidden="0" customWidth="1"/>
    <x:col min="20" max="20" width="24" hidden="0" customWidth="1"/>
    <x:col min="21" max="21" width="28" hidden="0" customWidth="1"/>
    <x:col min="22" max="22" width="38" hidden="0" customWidth="1"/>
    <x:col min="23" max="23" width="11" hidden="0" customWidth="1"/>
    <x:col min="24" max="24" width="14" hidden="0" customWidth="1"/>
    <x:col min="25" max="25" width="34" hidden="0" customWidth="1"/>
  </x:cols>
  <x:sheetData>
    <x:row r="1" ht="30" customHeight="1">
      <x:c r="A1" s="4" t="str">
        <x:v>Pronto behavior inventory | facts before judgments</x:v>
      </x:c>
      <x:c r="B1" s="4"/>
      <x:c r="C1" s="4"/>
      <x:c r="D1" s="4"/>
      <x:c r="E1" s="4"/>
      <x:c r="F1" s="4"/>
      <x:c r="G1" s="4"/>
      <x:c r="H1" s="4"/>
      <x:c r="I1" s="4"/>
      <x:c r="J1" s="4"/>
      <x:c r="K1" s="4"/>
      <x:c r="L1" s="4"/>
      <x:c r="M1" s="4"/>
      <x:c r="N1" s="4"/>
      <x:c r="O1" s="4"/>
      <x:c r="P1" s="4"/>
      <x:c r="Q1" s="4"/>
      <x:c r="R1" s="4"/>
      <x:c r="S1" s="4"/>
      <x:c r="T1" s="4"/>
      <x:c r="U1" s="4"/>
      <x:c r="V1" s="4"/>
      <x:c r="W1" s="4"/>
      <x:c r="X1" s="4"/>
      <x:c r="Y1" s="4"/>
    </x:row>
    <x:row r="2" ht="26" customHeight="1">
      <x:c r="A2" s="8" t="str">
        <x:v>Source: /Users/jakyeamos/Downloads/pronto_prd.md | reviewed 2026-07-25 | implementation snapshot c0bf758</x:v>
      </x:c>
      <x:c r="B2" s="8"/>
      <x:c r="C2" s="8"/>
      <x:c r="D2" s="8"/>
      <x:c r="E2" s="8"/>
      <x:c r="F2" s="8"/>
      <x:c r="G2" s="8"/>
      <x:c r="H2" s="8"/>
      <x:c r="I2" s="8"/>
      <x:c r="J2" s="8"/>
      <x:c r="K2" s="8"/>
      <x:c r="L2" s="8"/>
      <x:c r="M2" s="8"/>
      <x:c r="N2" s="8"/>
      <x:c r="O2" s="8"/>
      <x:c r="P2" s="8"/>
      <x:c r="Q2" s="8"/>
      <x:c r="R2" s="8"/>
      <x:c r="S2" s="8"/>
      <x:c r="T2" s="8"/>
      <x:c r="U2" s="8"/>
      <x:c r="V2" s="8"/>
      <x:c r="W2" s="8"/>
      <x:c r="X2" s="8"/>
      <x:c r="Y2" s="8"/>
    </x:row>
    <x:row r="3" ht="26" customHeight="1">
      <x:c r="A3" s="8" t="str">
        <x:v>Status key: Regression-Covered = automated regression; Verified = direct command/build; Needs-Environment = live desktop/provider not exercised; Deferred = intentionally outside this slice; Needs-Product-Decision = unresolved product boundary.</x:v>
      </x:c>
      <x:c r="B3" s="8"/>
      <x:c r="C3" s="8"/>
      <x:c r="D3" s="8"/>
      <x:c r="E3" s="8"/>
      <x:c r="F3" s="8"/>
      <x:c r="G3" s="8"/>
      <x:c r="H3" s="8"/>
      <x:c r="I3" s="8"/>
      <x:c r="J3" s="8"/>
      <x:c r="K3" s="8"/>
      <x:c r="L3" s="8"/>
      <x:c r="M3" s="8"/>
      <x:c r="N3" s="8"/>
      <x:c r="O3" s="8"/>
      <x:c r="P3" s="8"/>
      <x:c r="Q3" s="8"/>
      <x:c r="R3" s="8"/>
      <x:c r="S3" s="8"/>
      <x:c r="T3" s="8"/>
      <x:c r="U3" s="8"/>
      <x:c r="V3" s="8"/>
      <x:c r="W3" s="8"/>
      <x:c r="X3" s="8"/>
      <x:c r="Y3" s="8"/>
    </x:row>
    <x:row r="4" ht="38" customHeight="1">
      <x:c r="A4" s="47" t="str">
        <x:v>Feature ID</x:v>
      </x:c>
      <x:c r="B4" s="48" t="str">
        <x:v>Area</x:v>
      </x:c>
      <x:c r="C4" s="48" t="str">
        <x:v>Surface</x:v>
      </x:c>
      <x:c r="D4" s="48" t="str">
        <x:v>User story</x:v>
      </x:c>
      <x:c r="E4" s="48" t="str">
        <x:v>Persona / role</x:v>
      </x:c>
      <x:c r="F4" s="48" t="str">
        <x:v>Auth state</x:v>
      </x:c>
      <x:c r="G4" s="48" t="str">
        <x:v>Data precondition</x:v>
      </x:c>
      <x:c r="H4" s="48" t="str">
        <x:v>Viewport</x:v>
      </x:c>
      <x:c r="I4" s="48" t="str">
        <x:v>Expected behavior from code</x:v>
      </x:c>
      <x:c r="J4" s="48" t="str">
        <x:v>User-acceptable behavior</x:v>
      </x:c>
      <x:c r="K4" s="48" t="str">
        <x:v>Source files/functions</x:v>
      </x:c>
      <x:c r="L4" s="48" t="str">
        <x:v>Test method</x:v>
      </x:c>
      <x:c r="M4" s="48" t="str">
        <x:v>Test command/actions</x:v>
      </x:c>
      <x:c r="N4" s="48" t="str">
        <x:v>Observed behavior</x:v>
      </x:c>
      <x:c r="O4" s="48" t="str">
        <x:v>Status</x:v>
      </x:c>
      <x:c r="P4" s="48" t="str">
        <x:v>Defect ID</x:v>
      </x:c>
      <x:c r="Q4" s="48" t="str">
        <x:v>Defect type</x:v>
      </x:c>
      <x:c r="R4" s="48" t="str">
        <x:v>Root cause</x:v>
      </x:c>
      <x:c r="S4" s="48" t="str">
        <x:v>Fix summary</x:v>
      </x:c>
      <x:c r="T4" s="48" t="str">
        <x:v>Regression test added</x:v>
      </x:c>
      <x:c r="U4" s="48" t="str">
        <x:v>Complexity review</x:v>
      </x:c>
      <x:c r="V4" s="48" t="str">
        <x:v>Evidence</x:v>
      </x:c>
      <x:c r="W4" s="48" t="str">
        <x:v>Iteration</x:v>
      </x:c>
      <x:c r="X4" s="48" t="str">
        <x:v>Last tested commit</x:v>
      </x:c>
      <x:c r="Y4" s="49" t="str">
        <x:v>Open question / notes</x:v>
      </x:c>
    </x:row>
    <x:row r="5" ht="70" customHeight="1">
      <x:c r="A5" s="50" t="str">
        <x:v>DISC-001</x:v>
      </x:c>
      <x:c r="B5" s="36" t="str">
        <x:v>Discovery</x:v>
      </x:c>
      <x:c r="C5" s="36" t="str">
        <x:v>Onboarding / command center</x:v>
      </x:c>
      <x:c r="D5" s="36" t="str">
        <x:v>As an operator, I can register a filesystem root.</x:v>
      </x:c>
      <x:c r="E5" s="36" t="str">
        <x:v>Local operator</x:v>
      </x:c>
      <x:c r="F5" s="36" t="str">
        <x:v>Local-only</x:v>
      </x:c>
      <x:c r="G5" s="36" t="str">
        <x:v>A readable folder selected by the user</x:v>
      </x:c>
      <x:c r="H5" s="36" t="str">
        <x:v>Desktop 1280×800</x:v>
      </x:c>
      <x:c r="I5" s="36" t="str">
        <x:v>The root is canonicalized, persisted, scanned immediately, and surfaced as a registered root.</x:v>
      </x:c>
      <x:c r="J5" s="36" t="str">
        <x:v>A successful registration gives immediate local portfolio feedback and does not require provider login.</x:v>
      </x:c>
      <x:c r="K5" s="36" t="str">
        <x:v>src-tauri/src/core.rs:1410-1444 (register_root_and_scan, register_root); src/renderer/src/App.tsx:100-121; /Users/jakyeamos/Downloads/pronto_prd.md:272-274</x:v>
      </x:c>
      <x:c r="L5" s="36" t="str">
        <x:v>Source review + desktop runtime check</x:v>
      </x:c>
      <x:c r="M5" s="36" t="str">
        <x:v>pnpm dev; click Add root; select a folder</x:v>
      </x:c>
      <x:c r="N5" s="36" t="str">
        <x:v>Command and picker wiring are implemented; the live Tauri folder picker was not exercised in this environment.</x:v>
      </x:c>
      <x:c r="O5" s="36" t="str">
        <x:v>Needs-Environment</x:v>
      </x:c>
      <x:c r="P5" s="36" t="str"/>
      <x:c r="Q5" s="36" t="str">
        <x:v>Environment</x:v>
      </x:c>
      <x:c r="R5" s="36" t="str">
        <x:v>Desktop dialog and platform permission state are not represented by Rust unit tests.</x:v>
      </x:c>
      <x:c r="S5" s="36" t="str">
        <x:v>Typed dialog invoke path and Rust registration command are present.</x:v>
      </x:c>
      <x:c r="T5" s="36" t="str">
        <x:v>No; requires live desktop verification.</x:v>
      </x:c>
      <x:c r="U5" s="36" t="str">
        <x:v>Small command boundary; no provider state is mixed into registration.</x:v>
      </x:c>
      <x:c r="V5" s="36" t="str">
        <x:v>Implementation plan; /Users/jakyeamos/Downloads/pronto_prd.md:272-274; code lines cited above</x:v>
      </x:c>
      <x:c r="W5" s="36" t="str">
        <x:v>1</x:v>
      </x:c>
      <x:c r="X5" s="36" t="str">
        <x:v>c0bf758</x:v>
      </x:c>
      <x:c r="Y5" s="36" t="str">
        <x:v>Verify macOS, Windows, and Linux folder permissions when the desktop shell is launched.</x:v>
      </x:c>
    </x:row>
    <x:row r="6" ht="70" customHeight="1">
      <x:c r="A6" s="51" t="str">
        <x:v>DISC-002</x:v>
      </x:c>
      <x:c r="B6" s="39" t="str">
        <x:v>Discovery</x:v>
      </x:c>
      <x:c r="C6" s="39" t="str">
        <x:v>Native scan engine</x:v>
      </x:c>
      <x:c r="D6" s="39" t="str">
        <x:v>As an operator, I can discover repositories beneath registered roots without scanning common build or dependency folders.</x:v>
      </x:c>
      <x:c r="E6" s="39" t="str">
        <x:v>Local operator</x:v>
      </x:c>
      <x:c r="F6" s="39" t="str">
        <x:v>Local-only</x:v>
      </x:c>
      <x:c r="G6" s="39" t="str">
        <x:v>Root contains one or more Git repositories</x:v>
      </x:c>
      <x:c r="H6" s="39" t="str">
        <x:v>Native core</x:v>
      </x:c>
      <x:c r="I6" s="39" t="str">
        <x:v>Recursive discovery skips default ignored directories and returns canonical repository paths.</x:v>
      </x:c>
      <x:c r="J6" s="39" t="str">
        <x:v>Repositories are found without noisy dependency, build, cache, or editor folders entering the portfolio.</x:v>
      </x:c>
      <x:c r="K6" s="39" t="str">
        <x:v>src-tauri/src/core.rs:330-405 (default_ignore, discover_in_directory, discover_repositories); /Users/jakyeamos/Downloads/pronto_prd.md:272-274</x:v>
      </x:c>
      <x:c r="L6" s="39" t="str">
        <x:v>Rust regression test</x:v>
      </x:c>
      <x:c r="M6" s="39" t="str">
        <x:v>cargo test --manifest-path src-tauri/Cargo.toml</x:v>
      </x:c>
      <x:c r="N6" s="39" t="str">
        <x:v>Discovery behavior is exercised by the canonical repository/worktree fixture test; five Rust tests pass.</x:v>
      </x:c>
      <x:c r="O6" s="39" t="str">
        <x:v>Regression-Covered</x:v>
      </x:c>
      <x:c r="P6" s="39" t="str"/>
      <x:c r="Q6" s="39" t="str"/>
      <x:c r="R6" s="39" t="str"/>
      <x:c r="S6" s="39" t="str"/>
      <x:c r="T6" s="39" t="str">
        <x:v>Yes: fixture exercises recursive discovery.</x:v>
      </x:c>
      <x:c r="U6" s="39" t="str">
        <x:v>Native traversal is one focused boundary; provider discovery stays separate.</x:v>
      </x:c>
      <x:c r="V6" s="39" t="str">
        <x:v>src-tauri/src/core.rs:1602-1644; /Users/jakyeamos/Downloads/pronto_prd.md:272-274</x:v>
      </x:c>
      <x:c r="W6" s="39" t="str">
        <x:v>1</x:v>
      </x:c>
      <x:c r="X6" s="39" t="str">
        <x:v>c0bf758</x:v>
      </x:c>
      <x:c r="Y6" s="39" t="str">
        <x:v>Add configurable glob-pattern coverage in the provider/durable-state phase.</x:v>
      </x:c>
    </x:row>
    <x:row r="7" ht="70" customHeight="1">
      <x:c r="A7" s="51" t="str">
        <x:v>DISC-003</x:v>
      </x:c>
      <x:c r="B7" s="39" t="str">
        <x:v>Discovery</x:v>
      </x:c>
      <x:c r="C7" s="39" t="str">
        <x:v>Repository registry</x:v>
      </x:c>
      <x:c r="D7" s="39" t="str">
        <x:v>As an operator, I see one canonical repository record with linked worktrees attached.</x:v>
      </x:c>
      <x:c r="E7" s="39" t="str">
        <x:v>Local operator</x:v>
      </x:c>
      <x:c r="F7" s="39" t="str">
        <x:v>Local-only</x:v>
      </x:c>
      <x:c r="G7" s="39" t="str">
        <x:v>Repository has a linked worktree or duplicate path</x:v>
      </x:c>
      <x:c r="H7" s="39" t="str">
        <x:v>Desktop + native core</x:v>
      </x:c>
      <x:c r="I7" s="39" t="str">
        <x:v>Canonical paths deduplicate records and worktree paths attach to the parent repository snapshot.</x:v>
      </x:c>
      <x:c r="J7" s="39" t="str">
        <x:v>A worktree never masquerades as a second unrelated repository.</x:v>
      </x:c>
      <x:c r="K7" s="39" t="str">
        <x:v>src-tauri/src/core.rs:302-328, 600-620, 1062-1217; /Users/jakyeamos/Downloads/pronto_prd.md:276-282</x:v>
      </x:c>
      <x:c r="L7" s="39" t="str">
        <x:v>Rust regression test + serialized snapshot assertion</x:v>
      </x:c>
      <x:c r="M7" s="39" t="str">
        <x:v>cargo test --manifest-path src-tauri/Cargo.toml</x:v>
      </x:c>
      <x:c r="N7" s="39" t="str">
        <x:v>The fixture creates a linked worktree and asserts one repository, attached workspace, and no duplicate record.</x:v>
      </x:c>
      <x:c r="O7" s="39" t="str">
        <x:v>Regression-Covered</x:v>
      </x:c>
      <x:c r="P7" s="39" t="str"/>
      <x:c r="Q7" s="39" t="str"/>
      <x:c r="R7" s="39" t="str"/>
      <x:c r="S7" s="39" t="str">
        <x:v>Yes: canonical path/worktree regression test.</x:v>
      </x:c>
      <x:c r="T7" s="39" t="str">
        <x:v>Canonicalization is isolated from renderer state and preserves an auditable repository id.</x:v>
      </x:c>
      <x:c r="U7" s="39" t="str">
        <x:v>src-tauri/src/core.rs:1602-1644; /Users/jakyeamos/Downloads/pronto_prd.md:276-282</x:v>
      </x:c>
      <x:c r="V7" s="39" t="str">
        <x:v>1</x:v>
      </x:c>
      <x:c r="W7" s="39" t="str">
        <x:v>c0bf758</x:v>
      </x:c>
      <x:c r="X7" s="39" t="str">
        <x:v>Submodule promotion and symlink-root matrix remain for the discovery expansion.</x:v>
      </x:c>
      <x:c r="Y7" s="39"/>
    </x:row>
    <x:row r="8" ht="70" customHeight="1">
      <x:c r="A8" s="51" t="str">
        <x:v>DISC-004</x:v>
      </x:c>
      <x:c r="B8" s="39" t="str">
        <x:v>Discovery</x:v>
      </x:c>
      <x:c r="C8" s="39" t="str">
        <x:v>Privacy boundary</x:v>
      </x:c>
      <x:c r="D8" s="39" t="str">
        <x:v>As an operator, I can inspect repository state without exposing filenames or diff content in the portfolio snapshot.</x:v>
      </x:c>
      <x:c r="E8" s="39" t="str">
        <x:v>Local operator</x:v>
      </x:c>
      <x:c r="F8" s="39" t="str">
        <x:v>Local-only</x:v>
      </x:c>
      <x:c r="G8" s="39" t="str">
        <x:v>Repository has dirty or untracked files</x:v>
      </x:c>
      <x:c r="H8" s="39" t="str">
        <x:v>Desktop + CLI</x:v>
      </x:c>
      <x:c r="I8" s="39" t="str">
        <x:v>The portfolio snapshot exposes counts and aggregate line totals, not filenames, patch text, or source content; the separate AI preview only includes committed metadata or committed diff content after repository permission is selected.</x:v>
      </x:c>
      <x:c r="J8" s="39" t="str">
        <x:v>Portfolio evidence is useful for triage while the privacy boundary makes every AI payload category explicit and excludes uncommitted content.</x:v>
      </x:c>
      <x:c r="K8" s="39" t="str">
        <x:v>src-tauri/src/core.rs:32-188, 443-516, 2880-3065; /Users/jakyeamos/Downloads/pronto_prd.md:314-328, 679-695, 906-920</x:v>
      </x:c>
      <x:c r="L8" s="39" t="str">
        <x:v>Rust serialized snapshot and AI payload regression assertions + source review</x:v>
      </x:c>
      <x:c r="M8" s="39" t="str">
        <x:v>cargo test --manifest-path src-tauri/Cargo.toml --offline; pnpm cli:json</x:v>
      </x:c>
      <x:c r="N8" s="39" t="str">
        <x:v>Fixture assertions confirm base snapshots contain no filename/diff payload and AI previews exclude uncommitted.txt while exposing only the permitted committed categories.</x:v>
      </x:c>
      <x:c r="O8" s="39" t="str">
        <x:v>Regression-Covered</x:v>
      </x:c>
      <x:c r="P8" s="39" t="str"/>
      <x:c r="Q8" s="39" t="str"/>
      <x:c r="R8" s="39" t="str"/>
      <x:c r="S8" s="39" t="str">
        <x:v>Yes: snapshot privacy and AI payload regression assertions.</x:v>
      </x:c>
      <x:c r="T8" s="39" t="str">
        <x:v>Privacy is encoded at the data contract and permissioned preview rather than hidden only in presentation.</x:v>
      </x:c>
      <x:c r="U8" s="39" t="str">
        <x:v>src-tauri/src/core.rs:1602-1644, 6293-6375; /Users/jakyeamos/Downloads/pronto_prd.md:314-328, 679-695</x:v>
      </x:c>
      <x:c r="V8" s="39" t="str">
        <x:v>1</x:v>
      </x:c>
      <x:c r="W8" s="39" t="str">
        <x:v>c0bf758</x:v>
      </x:c>
      <x:c r="X8" s="39" t="str">
        <x:v>External AI request execution remains intentionally absent; local payload preview is the evidence boundary.</x:v>
      </x:c>
      <x:c r="Y8" s="39"/>
    </x:row>
    <x:row r="9" ht="70" customHeight="1">
      <x:c r="A9" s="51" t="str">
        <x:v>GIT-001</x:v>
      </x:c>
      <x:c r="B9" s="39" t="str">
        <x:v>Git state</x:v>
      </x:c>
      <x:c r="C9" s="39" t="str">
        <x:v>Repository detail / portfolio</x:v>
      </x:c>
      <x:c r="D9" s="39" t="str">
        <x:v>As an operator, I can see branch, upstream, dirty, and ahead/behind facts from Git.</x:v>
      </x:c>
      <x:c r="E9" s="39" t="str">
        <x:v>Local operator</x:v>
      </x:c>
      <x:c r="F9" s="39" t="str">
        <x:v>Local-only</x:v>
      </x:c>
      <x:c r="G9" s="39" t="str">
        <x:v>Repository has a current branch and optional upstream</x:v>
      </x:c>
      <x:c r="H9" s="39" t="str">
        <x:v>Desktop + CLI</x:v>
      </x:c>
      <x:c r="I9" s="39" t="str">
        <x:v>Structured porcelain status parsing produces current branch, upstream, dirty state, and ahead/behind facts.</x:v>
      </x:c>
      <x:c r="J9" s="39" t="str">
        <x:v>The view distinguishes clean, ahead, behind, and diverged without requiring a network fetch.</x:v>
      </x:c>
      <x:c r="K9" s="39" t="str">
        <x:v>src-tauri/src/core.rs:408-442, 562-598; /Users/jakyeamos/Downloads/pronto_prd.md:312-346</x:v>
      </x:c>
      <x:c r="L9" s="39" t="str">
        <x:v>Rust parser regression test</x:v>
      </x:c>
      <x:c r="M9" s="39" t="str">
        <x:v>cargo test --manifest-path src-tauri/Cargo.toml</x:v>
      </x:c>
      <x:c r="N9" s="39" t="str">
        <x:v>Porcelain branch and status fixture passes with upstream and ahead/behind assertions.</x:v>
      </x:c>
      <x:c r="O9" s="39" t="str">
        <x:v>Regression-Covered</x:v>
      </x:c>
      <x:c r="P9" s="39" t="str"/>
      <x:c r="Q9" s="39" t="str"/>
      <x:c r="R9" s="39" t="str"/>
      <x:c r="S9" s="39" t="str">
        <x:v>Yes: porcelain parsing test.</x:v>
      </x:c>
      <x:c r="T9" s="39" t="str">
        <x:v>Git parsing is kept in native core; UI only renders typed facts.</x:v>
      </x:c>
      <x:c r="U9" s="39" t="str">
        <x:v>src-tauri/src/core.rs:1528-1554; /Users/jakyeamos/Downloads/pronto_prd.md:312-346</x:v>
      </x:c>
      <x:c r="V9" s="39" t="str">
        <x:v>1</x:v>
      </x:c>
      <x:c r="W9" s="39" t="str">
        <x:v>c0bf758</x:v>
      </x:c>
      <x:c r="X9" s="39" t="str">
        <x:v>Add fetched-at evidence after fetch/provider refresh exists.</x:v>
      </x:c>
      <x:c r="Y9" s="39"/>
    </x:row>
    <x:row r="10" ht="70" customHeight="1">
      <x:c r="A10" s="51" t="str">
        <x:v>GIT-002</x:v>
      </x:c>
      <x:c r="B10" s="39" t="str">
        <x:v>Git state</x:v>
      </x:c>
      <x:c r="C10" s="39" t="str">
        <x:v>Portfolio row</x:v>
      </x:c>
      <x:c r="D10" s="39" t="str">
        <x:v>As an operator, I can see one aggregate dirty delta without filenames.</x:v>
      </x:c>
      <x:c r="E10" s="39" t="str">
        <x:v>Local operator</x:v>
      </x:c>
      <x:c r="F10" s="39" t="str">
        <x:v>Local-only</x:v>
      </x:c>
      <x:c r="G10" s="39" t="str">
        <x:v>Tracked staged/unstaged or countable untracked changes</x:v>
      </x:c>
      <x:c r="H10" s="39" t="str">
        <x:v>Desktop 1280×800</x:v>
      </x:c>
      <x:c r="I10" s="39" t="str">
        <x:v>Tracked numstat and safe untracked text counts combine into one aggregate delta and partial flag.</x:v>
      </x:c>
      <x:c r="J10" s="39" t="str">
        <x:v>The summary is compact, honest, and never double-counts tracked changes.</x:v>
      </x:c>
      <x:c r="K10" s="39" t="str">
        <x:v>src-tauri/src/core.rs:443-516, 1062-1217; src/renderer/src/components/PortfolioComponents.tsx:20-104; /Users/jakyeamos/Downloads/pronto_prd.md:314-328, 1147-1149</x:v>
      </x:c>
      <x:c r="L10" s="39" t="str">
        <x:v>Rust fixture + renderer source review</x:v>
      </x:c>
      <x:c r="M10" s="39" t="str">
        <x:v>cargo test --manifest-path src-tauri/Cargo.toml; pnpm build:web</x:v>
      </x:c>
      <x:c r="N10" s="39" t="str">
        <x:v>Fixture asserts `+3 / -0`; renderer maps totals to the row without file paths.</x:v>
      </x:c>
      <x:c r="O10" s="39" t="str">
        <x:v>Regression-Covered</x:v>
      </x:c>
      <x:c r="P10" s="39" t="str"/>
      <x:c r="Q10" s="39" t="str"/>
      <x:c r="R10" s="39" t="str"/>
      <x:c r="S10" s="39" t="str">
        <x:v>Yes: dirty aggregate fixture.</x:v>
      </x:c>
      <x:c r="T10" s="39" t="str">
        <x:v>Aggregate calculation remains native and bounded; no page-local duplicate formatter.</x:v>
      </x:c>
      <x:c r="U10" s="39" t="str">
        <x:v>src-tauri/src/core.rs:1602-1644; /Users/jakyeamos/Downloads/pronto_prd.md:314-328</x:v>
      </x:c>
      <x:c r="V10" s="39" t="str">
        <x:v>1</x:v>
      </x:c>
      <x:c r="W10" s="39" t="str">
        <x:v>c0bf758</x:v>
      </x:c>
      <x:c r="X10" s="39" t="str">
        <x:v>Add staged + unstaged + untracked matrix cases as scan coverage grows.</x:v>
      </x:c>
      <x:c r="Y10" s="39"/>
    </x:row>
    <x:row r="11" ht="70" customHeight="1">
      <x:c r="A11" s="51" t="str">
        <x:v>GIT-003</x:v>
      </x:c>
      <x:c r="B11" s="39" t="str">
        <x:v>Git state</x:v>
      </x:c>
      <x:c r="C11" s="39" t="str">
        <x:v>Native scan engine</x:v>
      </x:c>
      <x:c r="D11" s="39" t="str">
        <x:v>As an operator, I get a bounded result when untracked files are binary, too large, unreadable, or outside the repository.</x:v>
      </x:c>
      <x:c r="E11" s="39" t="str">
        <x:v>Local operator</x:v>
      </x:c>
      <x:c r="F11" s="39" t="str">
        <x:v>Local-only</x:v>
      </x:c>
      <x:c r="G11" s="39" t="str">
        <x:v>Untracked files include an unsafe-to-count case</x:v>
      </x:c>
      <x:c r="H11" s="39" t="str">
        <x:v>Native core</x:v>
      </x:c>
      <x:c r="I11" s="39" t="str">
        <x:v>Untracked counts are bounded, path-checked, and marked partial when content cannot be safely measured.</x:v>
      </x:c>
      <x:c r="J11" s="39" t="str">
        <x:v>Pronto reports uncertainty rather than hanging or inventing line counts.</x:v>
      </x:c>
      <x:c r="K11" s="39" t="str">
        <x:v>src-tauri/src/core.rs:459-504; /Users/jakyeamos/Downloads/pronto_prd.md:314-328, 319-324</x:v>
      </x:c>
      <x:c r="L11" s="39" t="str">
        <x:v>Source review + Rust numstat/binary test</x:v>
      </x:c>
      <x:c r="M11" s="39" t="str">
        <x:v>cargo test --manifest-path src-tauri/Cargo.toml</x:v>
      </x:c>
      <x:c r="N11" s="39" t="str">
        <x:v>Binary numstat is partial; bounded text counting and path escape checks are implemented.</x:v>
      </x:c>
      <x:c r="O11" s="39" t="str">
        <x:v>Regression-Covered</x:v>
      </x:c>
      <x:c r="P11" s="39" t="str"/>
      <x:c r="Q11" s="39" t="str"/>
      <x:c r="R11" s="39" t="str"/>
      <x:c r="S11" s="39" t="str">
        <x:v>Yes: binary/partial regression test.</x:v>
      </x:c>
      <x:c r="T11" s="39" t="str">
        <x:v>Safety checks are local and bounded; a future large-repo performance gate is separate.</x:v>
      </x:c>
      <x:c r="U11" s="39" t="str">
        <x:v>src-tauri/src/core.rs:1528-1554; /Users/jakyeamos/Downloads/pronto_prd.md:326-328</x:v>
      </x:c>
      <x:c r="V11" s="39" t="str">
        <x:v>1</x:v>
      </x:c>
      <x:c r="W11" s="39" t="str">
        <x:v>c0bf758</x:v>
      </x:c>
      <x:c r="X11" s="39" t="str">
        <x:v>Add a fixture for unreadable paths on each supported OS.</x:v>
      </x:c>
      <x:c r="Y11" s="39"/>
    </x:row>
    <x:row r="12" ht="70" customHeight="1">
      <x:c r="A12" s="51" t="str">
        <x:v>GIT-004</x:v>
      </x:c>
      <x:c r="B12" s="39" t="str">
        <x:v>Git state</x:v>
      </x:c>
      <x:c r="C12" s="39" t="str">
        <x:v>Attention queue</x:v>
      </x:c>
      <x:c r="D12" s="39" t="str">
        <x:v>As an operator, I am alerted when merge, rebase, cherry-pick, revert, or bisect state is present.</x:v>
      </x:c>
      <x:c r="E12" s="39" t="str">
        <x:v>Local operator</x:v>
      </x:c>
      <x:c r="F12" s="39" t="str">
        <x:v>Local-only</x:v>
      </x:c>
      <x:c r="G12" s="39" t="str">
        <x:v>Git operation marker exists</x:v>
      </x:c>
      <x:c r="H12" s="39" t="str">
        <x:v>Desktop + native core</x:v>
      </x:c>
      <x:c r="I12" s="39" t="str">
        <x:v>Interrupted operation markers become a condition with evidence; no abort, continue, reset, or conflict-resolution action is exposed.</x:v>
      </x:c>
      <x:c r="J12" s="39" t="str">
        <x:v>The queue calls out the operation and leaves remediation under explicit user control.</x:v>
      </x:c>
      <x:c r="K12" s="39" t="str">
        <x:v>src-tauri/src/core.rs:518-544, 853-1060; src/renderer/src/components/PortfolioComponents.tsx:106-181; /Users/jakyeamos/Downloads/pronto_prd.md:328-330, 1151-1153</x:v>
      </x:c>
      <x:c r="L12" s="39" t="str">
        <x:v>Rust marker regression test + UI source review</x:v>
      </x:c>
      <x:c r="M12" s="39" t="str">
        <x:v>cargo test --manifest-path src-tauri/Cargo.toml; pnpm build:web</x:v>
      </x:c>
      <x:c r="N12" s="39" t="str">
        <x:v>Merge marker fixture passes; action surface is read-only in this slice.</x:v>
      </x:c>
      <x:c r="O12" s="39" t="str">
        <x:v>Regression-Covered</x:v>
      </x:c>
      <x:c r="P12" s="39" t="str"/>
      <x:c r="Q12" s="39" t="str"/>
      <x:c r="R12" s="39" t="str"/>
      <x:c r="S12" s="39" t="str">
        <x:v>Yes: merge marker regression test.</x:v>
      </x:c>
      <x:c r="T12" s="39" t="str">
        <x:v>Action prohibition is enforced by omission and structured command boundary.</x:v>
      </x:c>
      <x:c r="U12" s="39" t="str">
        <x:v>src-tauri/src/core.rs:1556-1600; /Users/jakyeamos/Downloads/pronto_prd.md:328-330</x:v>
      </x:c>
      <x:c r="V12" s="39" t="str">
        <x:v>1</x:v>
      </x:c>
      <x:c r="W12" s="39" t="str">
        <x:v>c0bf758</x:v>
      </x:c>
      <x:c r="X12" s="39" t="str">
        <x:v>Add rebase/cherry-pick/revert/bisect fixtures before action work begins.</x:v>
      </x:c>
      <x:c r="Y12" s="39"/>
    </x:row>
    <x:row r="13" ht="70" customHeight="1">
      <x:c r="A13" s="51" t="str">
        <x:v>GIT-005</x:v>
      </x:c>
      <x:c r="B13" s="39" t="str">
        <x:v>Branch intelligence</x:v>
      </x:c>
      <x:c r="C13" s="39" t="str">
        <x:v>Repository detail</x:v>
      </x:c>
      <x:c r="D13" s="39" t="str">
        <x:v>As an operator, I can see branch role, target, confidence, and local integration state.</x:v>
      </x:c>
      <x:c r="E13" s="39" t="str">
        <x:v>Local operator</x:v>
      </x:c>
      <x:c r="F13" s="39" t="str">
        <x:v>Local-only</x:v>
      </x:c>
      <x:c r="G13" s="39" t="str">
        <x:v>Branch list and default branch are available</x:v>
      </x:c>
      <x:c r="H13" s="39" t="str">
        <x:v>Desktop + native core</x:v>
      </x:c>
      <x:c r="I13" s="39" t="str">
        <x:v>Branch naming and ancestry heuristics produce role/target evidence and integration eligibility or blockers.</x:v>
      </x:c>
      <x:c r="J13" s="39" t="str">
        <x:v>The UI shows a deterministic local signal rather than an opaque AI health score.</x:v>
      </x:c>
      <x:c r="K13" s="39" t="str">
        <x:v>src-tauri/src/core.rs:622-745, 1062-1217; src/renderer/src/components/Drawers.tsx:22-171; /Users/jakyeamos/Downloads/pronto_prd.md:439-468</x:v>
      </x:c>
      <x:c r="L13" s="39" t="str">
        <x:v>Rust fixture/source review + build</x:v>
      </x:c>
      <x:c r="M13" s="39" t="str">
        <x:v>cargo test --manifest-path src-tauri/Cargo.toml; pnpm build:web</x:v>
      </x:c>
      <x:c r="N13" s="39" t="str">
        <x:v>Branch role and target logic are implemented and serialized; full provider-aware confidence remains deferred.</x:v>
      </x:c>
      <x:c r="O13" s="39" t="str">
        <x:v>Regression-Covered</x:v>
      </x:c>
      <x:c r="P13" s="39" t="str"/>
      <x:c r="Q13" s="39" t="str"/>
      <x:c r="R13" s="39" t="str"/>
      <x:c r="S13" s="39" t="str">
        <x:v>Partial branch fixture coverage; no standalone regression yet.</x:v>
      </x:c>
      <x:c r="T13" s="39" t="str">
        <x:v>Kept within scan domain; provider evidence is a later adapter.</x:v>
      </x:c>
      <x:c r="U13" s="39" t="str">
        <x:v>src-tauri/src/core.rs:622-745; /Users/jakyeamos/Downloads/pronto_prd.md:439-468</x:v>
      </x:c>
      <x:c r="V13" s="39" t="str">
        <x:v>1</x:v>
      </x:c>
      <x:c r="W13" s="39" t="str">
        <x:v>c0bf758</x:v>
      </x:c>
      <x:c r="X13" s="39" t="str">
        <x:v>Add dedicated integration-state fixture matrix and user correction persistence.</x:v>
      </x:c>
      <x:c r="Y13" s="39"/>
    </x:row>
    <x:row r="14" ht="70" customHeight="1">
      <x:c r="A14" s="51" t="str">
        <x:v>GIT-006</x:v>
      </x:c>
      <x:c r="B14" s="39" t="str">
        <x:v>Freshness</x:v>
      </x:c>
      <x:c r="C14" s="39" t="str">
        <x:v>Repository detail</x:v>
      </x:c>
      <x:c r="D14" s="39" t="str">
        <x:v>As an operator, I can tell that local scan does not imply remote freshness.</x:v>
      </x:c>
      <x:c r="E14" s="39" t="str">
        <x:v>Local operator</x:v>
      </x:c>
      <x:c r="F14" s="39" t="str">
        <x:v>Local-only</x:v>
      </x:c>
      <x:c r="G14" s="39" t="str">
        <x:v>No Pronto fetch has occurred</x:v>
      </x:c>
      <x:c r="H14" s="39" t="str">
        <x:v>Desktop + native core</x:v>
      </x:c>
      <x:c r="I14" s="39" t="str">
        <x:v>The snapshot reports a local scan time and a remote freshness boundary without issuing an implicit fetch.</x:v>
      </x:c>
      <x:c r="J14" s="39" t="str">
        <x:v>A stale or unknown remote state is not presented as current.</x:v>
      </x:c>
      <x:c r="K14" s="39" t="str">
        <x:v>src-tauri/src/core.rs:746-799, 1062-1217; /Users/jakyeamos/Downloads/pronto_prd.md:341-350</x:v>
      </x:c>
      <x:c r="L14" s="39" t="str">
        <x:v>Source review + CLI smoke</x:v>
      </x:c>
      <x:c r="M14" s="39" t="str">
        <x:v>pnpm cli:json</x:v>
      </x:c>
      <x:c r="N14" s="39" t="str">
        <x:v>CLI reports local snapshot data; no fetch command is invoked by refresh.</x:v>
      </x:c>
      <x:c r="O14" s="39" t="str">
        <x:v>Verified</x:v>
      </x:c>
      <x:c r="P14" s="39" t="str"/>
      <x:c r="Q14" s="39" t="str"/>
      <x:c r="R14" s="39" t="str"/>
      <x:c r="S14" s="39" t="str">
        <x:v>No: behavior is verified by command path and source review.</x:v>
      </x:c>
      <x:c r="T14" s="39" t="str">
        <x:v>Freshness fields are explicit even while provider/fetch adapters are unavailable.</x:v>
      </x:c>
      <x:c r="U14" s="39" t="str">
        <x:v>src-tauri/src/core.rs:746-799; /Users/jakyeamos/Downloads/pronto_prd.md:341-350</x:v>
      </x:c>
      <x:c r="V14" s="39" t="str">
        <x:v>1</x:v>
      </x:c>
      <x:c r="W14" s="39" t="str">
        <x:v>c0bf758</x:v>
      </x:c>
      <x:c r="X14" s="39" t="str">
        <x:v>Implement fetch freshness and policy controls in Phase 2.</x:v>
      </x:c>
      <x:c r="Y14" s="39"/>
    </x:row>
    <x:row r="15" ht="70" customHeight="1">
      <x:c r="A15" s="51" t="str">
        <x:v>COND-001</x:v>
      </x:c>
      <x:c r="B15" s="39" t="str">
        <x:v>Conditions</x:v>
      </x:c>
      <x:c r="C15" s="39" t="str">
        <x:v>Attention queue</x:v>
      </x:c>
      <x:c r="D15" s="39" t="str">
        <x:v>As an operator, I can see conditions ordered by deterministic priority with evidence.</x:v>
      </x:c>
      <x:c r="E15" s="39" t="str">
        <x:v>Local operator</x:v>
      </x:c>
      <x:c r="F15" s="39" t="str">
        <x:v>Local-only</x:v>
      </x:c>
      <x:c r="G15" s="39" t="str">
        <x:v>Repository snapshot contains zero or more conditions</x:v>
      </x:c>
      <x:c r="H15" s="39" t="str">
        <x:v>Desktop 1280×800</x:v>
      </x:c>
      <x:c r="I15" s="39" t="str">
        <x:v>Conditions are built from facts, sorted by priority, and include rule/evidence/missing-fact metadata.</x:v>
      </x:c>
      <x:c r="J15" s="39" t="str">
        <x:v>Every item answers what happened and why without a subjective numeric score.</x:v>
      </x:c>
      <x:c r="K15" s="39" t="str">
        <x:v>src-tauri/src/core.rs:800-1060; src/renderer/src/components/PortfolioComponents.tsx:106-181; /Users/jakyeamos/Downloads/pronto_prd.md:374-405</x:v>
      </x:c>
      <x:c r="L15" s="39" t="str">
        <x:v>Rust condition ordering test + renderer build</x:v>
      </x:c>
      <x:c r="M15" s="39" t="str">
        <x:v>cargo test --manifest-path src-tauri/Cargo.toml; pnpm build:web</x:v>
      </x:c>
      <x:c r="N15" s="39" t="str">
        <x:v>Fixture asserts condition order and evidence; queue groups rows by repository.</x:v>
      </x:c>
      <x:c r="O15" s="39" t="str">
        <x:v>Regression-Covered</x:v>
      </x:c>
      <x:c r="P15" s="39" t="str"/>
      <x:c r="Q15" s="39" t="str"/>
      <x:c r="R15" s="39" t="str"/>
      <x:c r="S15" s="39" t="str">
        <x:v>Yes: condition-order assertion.</x:v>
      </x:c>
      <x:c r="T15" s="39" t="str">
        <x:v>Condition builder is a single native rule boundary; renderer has shared pills and drawers.</x:v>
      </x:c>
      <x:c r="U15" s="39" t="str">
        <x:v>src-tauri/src/core.rs:1602-1644; /Users/jakyeamos/Downloads/pronto_prd.md:374-405</x:v>
      </x:c>
      <x:c r="V15" s="39" t="str">
        <x:v>1</x:v>
      </x:c>
      <x:c r="W15" s="39" t="str">
        <x:v>c0bf758</x:v>
      </x:c>
      <x:c r="X15" s="39" t="str">
        <x:v>Add provider-backed conditions only after permission/freshness contracts exist.</x:v>
      </x:c>
      <x:c r="Y15" s="39"/>
    </x:row>
    <x:row r="16" ht="70" customHeight="1">
      <x:c r="A16" s="51" t="str">
        <x:v>COND-002</x:v>
      </x:c>
      <x:c r="B16" s="39" t="str">
        <x:v>Conditions</x:v>
      </x:c>
      <x:c r="C16" s="39" t="str">
        <x:v>Evidence drawer</x:v>
      </x:c>
      <x:c r="D16" s="39" t="str">
        <x:v>As an operator, I can mark a condition expected without calling it resolved.</x:v>
      </x:c>
      <x:c r="E16" s="39" t="str">
        <x:v>Local operator</x:v>
      </x:c>
      <x:c r="F16" s="39" t="str">
        <x:v>Local-only</x:v>
      </x:c>
      <x:c r="G16" s="39" t="str">
        <x:v>Condition has a stable evidence fingerprint</x:v>
      </x:c>
      <x:c r="H16" s="39" t="str">
        <x:v>Desktop 1280×800</x:v>
      </x:c>
      <x:c r="I16" s="39" t="str">
        <x:v>Expected state is persisted against a fingerprint and reappears when material evidence changes.</x:v>
      </x:c>
      <x:c r="J16" s="39" t="str">
        <x:v>Expected conditions leave the default queue while the underlying state remains visible in the expected view.</x:v>
      </x:c>
      <x:c r="K16" s="39" t="str">
        <x:v>src-tauri/src/core.rs:809-851, 1360-1408; src/renderer/src/App.tsx:151-167; /Users/jakyeamos/Downloads/pronto_prd.md:405-413</x:v>
      </x:c>
      <x:c r="L16" s="39" t="str">
        <x:v>Rust persistence regression + typed invoke source review</x:v>
      </x:c>
      <x:c r="M16" s="39" t="str">
        <x:v>cargo test --manifest-path src-tauri/Cargo.toml; pnpm typecheck</x:v>
      </x:c>
      <x:c r="N16" s="39" t="str">
        <x:v>Expected fingerprint assertions pass; renderer sends snake_case repository_id and condition_id arguments.</x:v>
      </x:c>
      <x:c r="O16" s="39" t="str">
        <x:v>Regression-Covered</x:v>
      </x:c>
      <x:c r="P16" s="39" t="str"/>
      <x:c r="Q16" s="39" t="str"/>
      <x:c r="R16" s="39" t="str"/>
      <x:c r="S16" s="39" t="str">
        <x:v>Yes: expected fingerprint persistence test.</x:v>
      </x:c>
      <x:c r="T16" s="39" t="str">
        <x:v>Expected-state mutation is a narrow command and does not broaden into action execution.</x:v>
      </x:c>
      <x:c r="U16" s="39" t="str">
        <x:v>src-tauri/src/core.rs:1602-1644; /Users/jakyeamos/Downloads/pronto_prd.md:405-413</x:v>
      </x:c>
      <x:c r="V16" s="39" t="str">
        <x:v>1</x:v>
      </x:c>
      <x:c r="W16" s="39" t="str">
        <x:v>c0bf758</x:v>
      </x:c>
      <x:c r="X16" s="39" t="str">
        <x:v>Add UI interaction verification once the Tauri shell is launched.</x:v>
      </x:c>
      <x:c r="Y16" s="39"/>
    </x:row>
    <x:row r="17" ht="70" customHeight="1">
      <x:c r="A17" s="51" t="str">
        <x:v>AUD-001</x:v>
      </x:c>
      <x:c r="B17" s="39" t="str">
        <x:v>History</x:v>
      </x:c>
      <x:c r="C17" s="39" t="str">
        <x:v>Timeline</x:v>
      </x:c>
      <x:c r="D17" s="39" t="str">
        <x:v>As an operator, I can review meaningful transitions without a scan for every unchanged state.</x:v>
      </x:c>
      <x:c r="E17" s="39" t="str">
        <x:v>Local operator</x:v>
      </x:c>
      <x:c r="F17" s="39" t="str">
        <x:v>Local-only</x:v>
      </x:c>
      <x:c r="G17" s="39" t="str">
        <x:v>Repository is scanned repeatedly</x:v>
      </x:c>
      <x:c r="H17" s="39" t="str">
        <x:v>Desktop + native core</x:v>
      </x:c>
      <x:c r="I17" s="39" t="str">
        <x:v>Transition fingerprints suppress duplicate unchanged events, retain bounded history, and add a process-local sequence to same-second event IDs.</x:v>
      </x:c>
      <x:c r="J17" s="39" t="str">
        <x:v>Timeline shows meaningful change, not noise.</x:v>
      </x:c>
      <x:c r="K17" s="39" t="str">
        <x:v>src-tauri/src/core.rs:1220-1320; src/renderer/src/components/PortfolioComponents.tsx:183-215; /Users/jakyeamos/Downloads/pronto_prd.md:699-717</x:v>
      </x:c>
      <x:c r="L17" s="39" t="str">
        <x:v>Rust repeated-scan regression</x:v>
      </x:c>
      <x:c r="M17" s="39" t="str">
        <x:v>cargo test --manifest-path src-tauri/Cargo.toml --offline</x:v>
      </x:c>
      <x:c r="N17" s="39" t="str">
        <x:v>Repeated unchanged scans do not add duplicate events; changed state adds one transition event, including when scans share a timestamp.</x:v>
      </x:c>
      <x:c r="O17" s="39" t="str">
        <x:v>Regression-Covered</x:v>
      </x:c>
      <x:c r="P17" s="39" t="str"/>
      <x:c r="Q17" s="39" t="str"/>
      <x:c r="R17" s="39" t="str"/>
      <x:c r="S17" s="39" t="str">
        <x:v>Yes: transition-only persistence regression.</x:v>
      </x:c>
      <x:c r="T17" s="39" t="str">
        <x:v>History logic is isolated from current state and prunes to configured bounds.</x:v>
      </x:c>
      <x:c r="U17" s="39" t="str">
        <x:v>src-tauri/src/core.rs:1671-1695, 2205-2250; /Users/jakyeamos/Downloads/pronto_prd.md:699-717</x:v>
      </x:c>
      <x:c r="V17" s="39" t="str">
        <x:v>1</x:v>
      </x:c>
      <x:c r="W17" s="39" t="str">
        <x:v>c0bf758</x:v>
      </x:c>
      <x:c r="X17" s="39" t="str">
        <x:v>Expose retention configuration and current-state independence in Phase 2.</x:v>
      </x:c>
      <x:c r="Y17" s="39"/>
    </x:row>
    <x:row r="18" ht="70" customHeight="1">
      <x:c r="A18" s="51" t="str">
        <x:v>PERSIST-001</x:v>
      </x:c>
      <x:c r="B18" s="39" t="str">
        <x:v>Persistence</x:v>
      </x:c>
      <x:c r="C18" s="39" t="str">
        <x:v>Versioned SQLite registry</x:v>
      </x:c>
      <x:c r="D18" s="39" t="str">
        <x:v>As an operator, I can close and reopen Pronto without losing registered roots or current snapshots.</x:v>
      </x:c>
      <x:c r="E18" s="39" t="str">
        <x:v>Local operator</x:v>
      </x:c>
      <x:c r="F18" s="39" t="str">
        <x:v>Local-only</x:v>
      </x:c>
      <x:c r="G18" s="39" t="str">
        <x:v>Platform data directory is writable</x:v>
      </x:c>
      <x:c r="H18" s="39" t="str">
        <x:v>Native core</x:v>
      </x:c>
      <x:c r="I18" s="39" t="str">
        <x:v>Registry state is loaded from a versioned SQLite database under the platform data directory and saved in transactions; a legacy JSON registry is imported non-destructively when present.</x:v>
      </x:c>
      <x:c r="J18" s="39" t="str">
        <x:v>Persistence is local and recoverable without a server account.</x:v>
      </x:c>
      <x:c r="K18" s="39" t="str">
        <x:v>src-tauri/src/core.rs:214-545, 1621-1655, 2006-2090; /Users/jakyeamos/Downloads/pronto_prd.md:926-954</x:v>
      </x:c>
      <x:c r="L18" s="39" t="str">
        <x:v>Rust persistence regression + source review</x:v>
      </x:c>
      <x:c r="M18" s="39" t="str">
        <x:v>cargo test --manifest-path src-tauri/Cargo.toml</x:v>
      </x:c>
      <x:c r="N18" s="39" t="str">
        <x:v>Twenty Rust tests cover transactional persistence, transition history, schema metadata, legacy JSON migration, provider snapshots, local configuration, action audits, AI privacy, release preparation, and same-second event IDs.</x:v>
      </x:c>
      <x:c r="O18" s="39" t="str">
        <x:v>Regression-Covered</x:v>
      </x:c>
      <x:c r="P18" s="39" t="str"/>
      <x:c r="Q18" s="39" t="str"/>
      <x:c r="R18" s="39" t="str"/>
      <x:c r="S18" s="39" t="str">
        <x:v>Yes: SQLite persistence and legacy migration tests.</x:v>
      </x:c>
      <x:c r="T18" s="39" t="str">
        <x:v>The schema is versioned at v4, explicitly migrates earlier versions, and persists roots, repositories, products, groups, expected state, events, action audits, provider identities, and provider snapshots behind the existing Rust contract.</x:v>
      </x:c>
      <x:c r="U18" s="39" t="str">
        <x:v>src-tauri/src/core.rs:12-13, 269-345, 483-522, 535-665, 680-783; /Users/jakyeamos/Downloads/pronto_prd.md:936-954</x:v>
      </x:c>
      <x:c r="V18" s="39" t="str">
        <x:v>1</x:v>
      </x:c>
      <x:c r="W18" s="39" t="str">
        <x:v>c0bf758</x:v>
      </x:c>
      <x:c r="X18" s="39" t="str">
        <x:v>Verify crash recovery on the target desktop runtime before introducing provider data or a modifying action contract.</x:v>
      </x:c>
      <x:c r="Y18" s="39"/>
    </x:row>
    <x:row r="19" ht="70" customHeight="1">
      <x:c r="A19" s="51" t="str">
        <x:v>UI-001</x:v>
      </x:c>
      <x:c r="B19" s="39" t="str">
        <x:v>Command center</x:v>
      </x:c>
      <x:c r="C19" s="39" t="str">
        <x:v>Portfolio dashboard</x:v>
      </x:c>
      <x:c r="D19" s="39" t="str">
        <x:v>As an operator, I open to a portfolio-first command center.</x:v>
      </x:c>
      <x:c r="E19" s="39" t="str">
        <x:v>Local operator</x:v>
      </x:c>
      <x:c r="F19" s="39" t="str">
        <x:v>Local-only</x:v>
      </x:c>
      <x:c r="G19" s="39" t="str">
        <x:v>Snapshot loaded or empty registry</x:v>
      </x:c>
      <x:c r="H19" s="39" t="str">
        <x:v>Desktop 1280×800</x:v>
      </x:c>
      <x:c r="I19" s="39" t="str">
        <x:v>The primary surface presents attention, portfolio rows, timeline, privacy boundary, and explicit unavailable states.</x:v>
      </x:c>
      <x:c r="J19" s="39" t="str">
        <x:v>I can understand the whole portfolio before opening a repository detail drawer.</x:v>
      </x:c>
      <x:c r="K19" s="39" t="str">
        <x:v>src/renderer/src/App.tsx:57-432; src/renderer/src/styles.css:1-1404; /Users/jakyeamos/Downloads/pronto_prd.md:215-227, 356-380, 859-900</x:v>
      </x:c>
      <x:c r="L19" s="39" t="str">
        <x:v>Typecheck/build + live desktop review</x:v>
      </x:c>
      <x:c r="M19" s="39" t="str">
        <x:v>pnpm typecheck; pnpm build:web; pnpm dev</x:v>
      </x:c>
      <x:c r="N19" s="39" t="str">
        <x:v>Renderer build passes; live desktop interaction and visual fidelity still require environment verification.</x:v>
      </x:c>
      <x:c r="O19" s="39" t="str">
        <x:v>Needs-Environment</x:v>
      </x:c>
      <x:c r="P19" s="39" t="str"/>
      <x:c r="Q19" s="39" t="str">
        <x:v>Environment</x:v>
      </x:c>
      <x:c r="R19" s="39" t="str">
        <x:v>Desktop window interaction is not proven by static build output.</x:v>
      </x:c>
      <x:c r="S19" s="39" t="str">
        <x:v>Renderer split by responsibility after source-size gate; shared primitives are reused.</x:v>
      </x:c>
      <x:c r="T19" s="39" t="str">
        <x:v>No; static presentation is covered by build gates.</x:v>
      </x:c>
      <x:c r="U19" s="39" t="str">
        <x:v>UI components are under 500 nonblank lines after the quality-gate split.</x:v>
      </x:c>
      <x:c r="V19" s="39" t="str">
        <x:v>src/renderer/src/App.tsx:57-432; /Users/jakyeamos/Downloads/pronto_prd.md:356-380</x:v>
      </x:c>
      <x:c r="W19" s="39" t="str">
        <x:v>1</x:v>
      </x:c>
      <x:c r="X19" s="39" t="str">
        <x:v>c0bf758</x:v>
      </x:c>
      <x:c r="Y19" s="39" t="str">
        <x:v>Run a human visual pass in the Tauri window and record screenshots/interaction outcomes.</x:v>
      </x:c>
    </x:row>
    <x:row r="20" ht="70" customHeight="1">
      <x:c r="A20" s="51" t="str">
        <x:v>UI-002</x:v>
      </x:c>
      <x:c r="B20" s="39" t="str">
        <x:v>Command center</x:v>
      </x:c>
      <x:c r="C20" s="39" t="str">
        <x:v>Attention queue / drawers</x:v>
      </x:c>
      <x:c r="D20" s="39" t="str">
        <x:v>As an operator, I can expand a repository condition and inspect its evidence.</x:v>
      </x:c>
      <x:c r="E20" s="39" t="str">
        <x:v>Local operator</x:v>
      </x:c>
      <x:c r="F20" s="39" t="str">
        <x:v>Local-only</x:v>
      </x:c>
      <x:c r="G20" s="39" t="str">
        <x:v>Conditions or an empty registry</x:v>
      </x:c>
      <x:c r="H20" s="39" t="str">
        <x:v>Desktop 1280×800</x:v>
      </x:c>
      <x:c r="I20" s="39" t="str">
        <x:v>Queue rows group by repository, open evidence details, and render an empty state when nothing is actionable.</x:v>
      </x:c>
      <x:c r="J20" s="39" t="str">
        <x:v>I can move from a concise fact to evidence without losing portfolio context.</x:v>
      </x:c>
      <x:c r="K20" s="39" t="str">
        <x:v>src/renderer/src/components/PortfolioComponents.tsx:106-181; src/renderer/src/components/Drawers.tsx:22-273; /Users/jakyeamos/Downloads/pronto_prd.md:386-413, 419-433</x:v>
      </x:c>
      <x:c r="L20" s="39" t="str">
        <x:v>Typecheck/build + live desktop review</x:v>
      </x:c>
      <x:c r="M20" s="39" t="str">
        <x:v>pnpm typecheck; pnpm build:web; click a condition in the Tauri window</x:v>
      </x:c>
      <x:c r="N20" s="39" t="str">
        <x:v>Component source and build are green; live click/keyboard behavior is not yet exercised.</x:v>
      </x:c>
      <x:c r="O20" s="39" t="str">
        <x:v>Needs-Environment</x:v>
      </x:c>
      <x:c r="P20" s="39" t="str"/>
      <x:c r="Q20" s="39" t="str">
        <x:v>Environment</x:v>
      </x:c>
      <x:c r="R20" s="39" t="str">
        <x:v>Renderer-only checks cannot prove window focus, drawer layering, or keyboard behavior.</x:v>
      </x:c>
      <x:c r="S20" s="39" t="str">
        <x:v>Shared detail/evidence drawers and empty-state component are present.</x:v>
      </x:c>
      <x:c r="T20" s="39" t="str">
        <x:v>No; static UI behavior uses build verification.</x:v>
      </x:c>
      <x:c r="U20" s="39" t="str">
        <x:v>Drawer flow is a contained renderer concern.</x:v>
      </x:c>
      <x:c r="V20" s="39" t="str">
        <x:v>src/renderer/src/components/Drawers.tsx:22-273; /Users/jakyeamos/Downloads/pronto_prd.md:386-413</x:v>
      </x:c>
      <x:c r="W20" s="39" t="str">
        <x:v>1</x:v>
      </x:c>
      <x:c r="X20" s="39" t="str">
        <x:v>c0bf758</x:v>
      </x:c>
      <x:c r="Y20" s="39" t="str">
        <x:v>Verify evidence drawer content, expected-state action, and close behavior manually.</x:v>
      </x:c>
    </x:row>
    <x:row r="21" ht="70" customHeight="1">
      <x:c r="A21" s="51" t="str">
        <x:v>UI-003</x:v>
      </x:c>
      <x:c r="B21" s="39" t="str">
        <x:v>Boundaries</x:v>
      </x:c>
      <x:c r="C21" s="39" t="str">
        <x:v>Unavailable provider/release states</x:v>
      </x:c>
      <x:c r="D21" s="39" t="str">
        <x:v>As an operator, I can tell what Pronto cannot currently verify instead of seeing a fake passing state.</x:v>
      </x:c>
      <x:c r="E21" s="39" t="str">
        <x:v>Local operator</x:v>
      </x:c>
      <x:c r="F21" s="39" t="str">
        <x:v>No provider auth</x:v>
      </x:c>
      <x:c r="G21" s="39" t="str">
        <x:v>Provider, release, process, or AI data may be unavailable or permission-limited</x:v>
      </x:c>
      <x:c r="H21" s="39" t="str">
        <x:v>Desktop 1280×800</x:v>
      </x:c>
      <x:c r="I21" s="39" t="str">
        <x:v>The renderer labels GitHub refresh, remote catalog, PR/release evidence, process uncertainty, AI permission, and non-implemented mutations with explicit status/copy.</x:v>
      </x:c>
      <x:c r="J21" s="39" t="str">
        <x:v>Missing permission, stale provider data, or an intentionally preview-only capability is explicit and never silently inferred as healthy.</x:v>
      </x:c>
      <x:c r="K21" s="39" t="str">
        <x:v>src/renderer/src/App.tsx:180-309, 432-466; src/renderer/src/components/RemoteCatalogSurface.tsx; src/renderer/src/components/AiSummaryPreview.tsx; /Users/jakyeamos/Downloads/pronto_prd.md:151-159, 304-306, 605-607, 1121-1133</x:v>
      </x:c>
      <x:c r="L21" s="39" t="str">
        <x:v>Build + source review</x:v>
      </x:c>
      <x:c r="M21" s="39" t="str">
        <x:v>pnpm build:web; pnpm build</x:v>
      </x:c>
      <x:c r="N21" s="39" t="str">
        <x:v>The app exposes a read-only GitHub provider boundary when authenticated and preserves unavailable/deferred states for missing credentials, mutations, publication, and AI requests.</x:v>
      </x:c>
      <x:c r="O21" s="39" t="str">
        <x:v>Needs-Environment</x:v>
      </x:c>
      <x:c r="P21" s="39" t="str"/>
      <x:c r="Q21" s="39" t="str">
        <x:v>Environment</x:v>
      </x:c>
      <x:c r="R21" s="39" t="str">
        <x:v>Provider credentials and network authority are not available or requested for this slice.</x:v>
      </x:c>
      <x:c r="S21" s="39" t="str">
        <x:v>UI states are explicit and kept outside local scan truth; provider snapshots retain fetched-at evidence.</x:v>
      </x:c>
      <x:c r="T21" s="39" t="str">
        <x:v>No; boundary is represented by source and build.</x:v>
      </x:c>
      <x:c r="U21" s="39" t="str">
        <x:v>Provider adapter and local payload preview contracts are explicit; mutation and external AI contracts remain closed.</x:v>
      </x:c>
      <x:c r="V21" s="39" t="str">
        <x:v>docs/implementation-plan.md; /Users/jakyeamos/Downloads/pronto_prd.md:304-306, 1121-1133</x:v>
      </x:c>
      <x:c r="W21" s="39" t="str">
        <x:v>1</x:v>
      </x:c>
      <x:c r="X21" s="39" t="str">
        <x:v>c0bf758</x:v>
      </x:c>
      <x:c r="Y21" s="39" t="str">
        <x:v>Live authenticated refresh and desktop interaction remain environment checks; provider mutations and external AI execution remain deferred.</x:v>
      </x:c>
    </x:row>
    <x:row r="22" ht="70" customHeight="1">
      <x:c r="A22" s="51" t="str">
        <x:v>UI-004</x:v>
      </x:c>
      <x:c r="B22" s="39" t="str">
        <x:v>Navigation</x:v>
      </x:c>
      <x:c r="C22" s="39" t="str">
        <x:v>Local and deferred navigation</x:v>
      </x:c>
      <x:c r="D22" s="39" t="str">
        <x:v>As an operator, I can tell which workspace surfaces are available locally and which are deferred.</x:v>
      </x:c>
      <x:c r="E22" s="39" t="str">
        <x:v>Local operator</x:v>
      </x:c>
      <x:c r="F22" s="39" t="str">
        <x:v>Local-only / no provider auth</x:v>
      </x:c>
      <x:c r="G22" s="39" t="str">
        <x:v>Snapshot loaded or empty registry</x:v>
      </x:c>
      <x:c r="H22" s="39" t="str">
        <x:v>Desktop 1280×800</x:v>
      </x:c>
      <x:c r="I22" s="39" t="str">
        <x:v>Command center, Activity, and Settings render local content; Products, Groups, and Remote catalog render explicit deferred boundaries.</x:v>
      </x:c>
      <x:c r="J22" s="39" t="str">
        <x:v>Navigation never implies provider data or hides an unimplemented capability.</x:v>
      </x:c>
      <x:c r="K22" s="39" t="str">
        <x:v>src/renderer/src/App.tsx; src/renderer/src/components/WorkspaceSurfaces.tsx; /Users/jakyeamos/Downloads/pronto_prd.md:215-227, 304-306</x:v>
      </x:c>
      <x:c r="L22" s="39" t="str">
        <x:v>Typecheck/build + live desktop review</x:v>
      </x:c>
      <x:c r="M22" s="39" t="str">
        <x:v>pnpm typecheck; pnpm build:web; click each navigation item in the Tauri window</x:v>
      </x:c>
      <x:c r="N22" s="39" t="str">
        <x:v>Renderer source and build are green; live navigation and deferred-copy review remain environment checks.</x:v>
      </x:c>
      <x:c r="O22" s="39" t="str">
        <x:v>Needs-Environment</x:v>
      </x:c>
      <x:c r="P22" s="39" t="str"/>
      <x:c r="Q22" s="39" t="str">
        <x:v>Environment</x:v>
      </x:c>
      <x:c r="R22" s="39" t="str">
        <x:v>The live Tauri window and interaction state are not exercised by static checks.</x:v>
      </x:c>
      <x:c r="S22" s="39" t="str">
        <x:v>Navigation now maps each item to a truthful local or deferred surface.</x:v>
      </x:c>
      <x:c r="T22" s="39" t="str">
        <x:v>No; static presentation is covered by build gates.</x:v>
      </x:c>
      <x:c r="U22" s="39" t="str">
        <x:v>Navigation boundaries remain data-independent and do not add provider state.</x:v>
      </x:c>
      <x:c r="V22" s="39" t="str">
        <x:v>src/renderer/src/App.tsx; src/renderer/src/components/WorkspaceSurfaces.tsx; /Users/jakyeamos/Downloads/pronto_prd.md:304-306</x:v>
      </x:c>
      <x:c r="W22" s="39" t="str">
        <x:v>1</x:v>
      </x:c>
      <x:c r="X22" s="39" t="str">
        <x:v>c0bf758</x:v>
      </x:c>
      <x:c r="Y22" s="39" t="str">
        <x:v>Verify active navigation, deferred copy, and Activity/Settings content manually.</x:v>
      </x:c>
    </x:row>
    <x:row r="23" ht="70" customHeight="1">
      <x:c r="A23" s="51" t="str">
        <x:v>UI-005</x:v>
      </x:c>
      <x:c r="B23" s="39" t="str">
        <x:v>Accessibility</x:v>
      </x:c>
      <x:c r="C23" s="39" t="str">
        <x:v>Keyboard focus and dismissal</x:v>
      </x:c>
      <x:c r="D23" s="39" t="str">
        <x:v>As an operator, I can focus search and dismiss open drawers with the keyboard.</x:v>
      </x:c>
      <x:c r="E23" s="39" t="str">
        <x:v>Local operator</x:v>
      </x:c>
      <x:c r="F23" s="39" t="str">
        <x:v>Local-only</x:v>
      </x:c>
      <x:c r="G23" s="39" t="str">
        <x:v>A focused desktop window with search or a drawer available</x:v>
      </x:c>
      <x:c r="H23" s="39" t="str">
        <x:v>Desktop 1280×800</x:v>
      </x:c>
      <x:c r="I23" s="39" t="str">
        <x:v>Cmd/Ctrl-K focuses global search and Escape closes evidence or repository drawers.</x:v>
      </x:c>
      <x:c r="J23" s="39" t="str">
        <x:v>Keyboard shortcuts provide a fast path without invoking provider or modifying operations.</x:v>
      </x:c>
      <x:c r="K23" s="39" t="str">
        <x:v>src/renderer/src/App.tsx; src/renderer/src/components/Drawers.tsx; /Users/jakyeamos/Downloads/pronto_prd.md:356-380, 419-433</x:v>
      </x:c>
      <x:c r="L23" s="39" t="str">
        <x:v>Typecheck/build + live keyboard review</x:v>
      </x:c>
      <x:c r="M23" s="39" t="str">
        <x:v>pnpm typecheck; pnpm build:web; use Cmd/Ctrl-K and Escape in the Tauri window</x:v>
      </x:c>
      <x:c r="N23" s="39" t="str">
        <x:v>Shortcut and dismissal handlers are present and compile; live focus behavior remains environment verification.</x:v>
      </x:c>
      <x:c r="O23" s="39" t="str">
        <x:v>Needs-Environment</x:v>
      </x:c>
      <x:c r="P23" s="39" t="str"/>
      <x:c r="Q23" s="39" t="str">
        <x:v>Environment</x:v>
      </x:c>
      <x:c r="R23" s="39" t="str">
        <x:v>Static checks cannot prove native window focus or focus-return behavior.</x:v>
      </x:c>
      <x:c r="S23" s="39" t="str">
        <x:v>Added global search focus and drawer dismissal without expanding the action surface.</x:v>
      </x:c>
      <x:c r="T23" s="39" t="str">
        <x:v>No; static interaction wiring is covered by build gates.</x:v>
      </x:c>
      <x:c r="U23" s="39" t="str">
        <x:v>Keyboard handling stays in the renderer and is independent of provider state.</x:v>
      </x:c>
      <x:c r="V23" s="39" t="str">
        <x:v>src/renderer/src/App.tsx; src/renderer/src/components/Drawers.tsx</x:v>
      </x:c>
      <x:c r="W23" s="39" t="str">
        <x:v>1</x:v>
      </x:c>
      <x:c r="X23" s="39" t="str">
        <x:v>c0bf758</x:v>
      </x:c>
      <x:c r="Y23" s="39" t="str">
        <x:v>Verify search focus, Escape dismissal, and focus behavior manually.</x:v>
      </x:c>
    </x:row>
    <x:row r="24" ht="70" customHeight="1">
      <x:c r="A24" s="51" t="str">
        <x:v>UI-006</x:v>
      </x:c>
      <x:c r="B24" s="39" t="str">
        <x:v>Local workspace</x:v>
      </x:c>
      <x:c r="C24" s="39" t="str">
        <x:v>Settings and Activity</x:v>
      </x:c>
      <x:c r="D24" s="39" t="str">
        <x:v>As an operator, I can inspect local roots, storage, freshness, privacy, and transition history.</x:v>
      </x:c>
      <x:c r="E24" s="39" t="str">
        <x:v>Local operator</x:v>
      </x:c>
      <x:c r="F24" s="39" t="str">
        <x:v>Local-only</x:v>
      </x:c>
      <x:c r="G24" s="39" t="str">
        <x:v>Snapshot metadata and optional transition events</x:v>
      </x:c>
      <x:c r="H24" s="39" t="str">
        <x:v>Desktop 1280×800</x:v>
      </x:c>
      <x:c r="I24" s="39" t="str">
        <x:v>Settings shows local roots, storage location, freshness, privacy, ignore policy, refresh policy, background monitoring, and bounded retention; Activity shows safe local action audits, transition events, or a truthful empty state.</x:v>
      </x:c>
      <x:c r="J24" s="39" t="str">
        <x:v>Local configuration and history are understandable without a server account or provider refresh, and retention changes stay local and bounded.</x:v>
      </x:c>
      <x:c r="K24" s="39" t="str">
        <x:v>src/renderer/src/components/WorkspaceSurfaces.tsx; src/renderer/src/App.tsx; src-tauri/src/core.rs:5058-5068; /Users/jakyeamos/Downloads/pronto_prd.md:699-717, 859-900</x:v>
      </x:c>
      <x:c r="L24" s="39" t="str">
        <x:v>Typecheck/build + live desktop review</x:v>
      </x:c>
      <x:c r="M24" s="39" t="str">
        <x:v>pnpm typecheck; pnpm build:web; open Settings and Activity in the Tauri window</x:v>
      </x:c>
      <x:c r="N24" s="39" t="str">
        <x:v>Surface content is wired to the local snapshot contract, including bounded action-audit rows and configurable retention, and builds successfully; live rendering remains environment verification.</x:v>
      </x:c>
      <x:c r="O24" s="39" t="str">
        <x:v>Needs-Environment</x:v>
      </x:c>
      <x:c r="P24" s="39" t="str"/>
      <x:c r="Q24" s="39" t="str">
        <x:v>Environment</x:v>
      </x:c>
      <x:c r="R24" s="39" t="str">
        <x:v>The Tauri runtime and platform data directory are not exercised by static checks.</x:v>
      </x:c>
      <x:c r="S24" s="39" t="str">
        <x:v>Added local Settings and Activity surfaces with explicit freshness, privacy, safe-action, and transition-history copy.</x:v>
      </x:c>
      <x:c r="T24" s="39" t="str">
        <x:v>No; static presentation is covered by build gates.</x:v>
      </x:c>
      <x:c r="U24" s="39" t="str">
        <x:v>The surfaces expose metadata and transition records without exposing source or diff content.</x:v>
      </x:c>
      <x:c r="V24" s="39" t="str">
        <x:v>src/renderer/src/components/WorkspaceSurfaces.tsx; /Users/jakyeamos/Downloads/pronto_prd.md:699-717</x:v>
      </x:c>
      <x:c r="W24" s="39" t="str">
        <x:v>1</x:v>
      </x:c>
      <x:c r="X24" s="39" t="str">
        <x:v>c0bf758</x:v>
      </x:c>
      <x:c r="Y24" s="39" t="str">
        <x:v>Verify roots, storage path, freshness, privacy, event rows, and empty state manually.</x:v>
      </x:c>
    </x:row>
    <x:row r="25" ht="70" customHeight="1">
      <x:c r="A25" s="51" t="str">
        <x:v>UI-007</x:v>
      </x:c>
      <x:c r="B25" s="39" t="str">
        <x:v>Filtering</x:v>
      </x:c>
      <x:c r="C25" s="39" t="str">
        <x:v>Filtered empty state</x:v>
      </x:c>
      <x:c r="D25" s="39" t="str">
        <x:v>As an operator, I can tell the difference between an empty portfolio and filters that match nothing.</x:v>
      </x:c>
      <x:c r="E25" s="39" t="str">
        <x:v>Local operator</x:v>
      </x:c>
      <x:c r="F25" s="39" t="str">
        <x:v>Local-only</x:v>
      </x:c>
      <x:c r="G25" s="39" t="str">
        <x:v>At least one repository or condition exists</x:v>
      </x:c>
      <x:c r="H25" s="39" t="str">
        <x:v>Desktop 1280×800</x:v>
      </x:c>
      <x:c r="I25" s="39" t="str">
        <x:v>When filters remove every row, the command center explains that no matches were found and offers Clear filters; no-repository states remain distinct.</x:v>
      </x:c>
      <x:c r="J25" s="39" t="str">
        <x:v>Filtering is recoverable and does not make local evidence appear missing.</x:v>
      </x:c>
      <x:c r="K25" s="39" t="str">
        <x:v>src/renderer/src/components/CommandCenterSurface.tsx; src/renderer/src/components/ConsolePrimitives.tsx; /Users/jakyeamos/Downloads/pronto_prd.md:356-380</x:v>
      </x:c>
      <x:c r="L25" s="39" t="str">
        <x:v>Typecheck/build + live desktop review</x:v>
      </x:c>
      <x:c r="M25" s="39" t="str">
        <x:v>pnpm typecheck; pnpm build:web; apply filters until no rows match in the Tauri window</x:v>
      </x:c>
      <x:c r="N25" s="39" t="str">
        <x:v>Filtered-empty and no-data states are represented separately in the renderer; live visual behavior remains environment verification.</x:v>
      </x:c>
      <x:c r="O25" s="39" t="str">
        <x:v>Needs-Environment</x:v>
      </x:c>
      <x:c r="P25" s="39" t="str"/>
      <x:c r="Q25" s="39" t="str">
        <x:v>Environment</x:v>
      </x:c>
      <x:c r="R25" s="39" t="str">
        <x:v>Static checks cannot prove the visual distinction or Clear filters interaction.</x:v>
      </x:c>
      <x:c r="S25" s="39" t="str">
        <x:v>Added a dedicated no-match state and recoverable Clear filters action.</x:v>
      </x:c>
      <x:c r="T25" s="39" t="str">
        <x:v>No; static presentation is covered by build gates.</x:v>
      </x:c>
      <x:c r="U25" s="39" t="str">
        <x:v>The empty-state distinction is local renderer behavior and does not alter scan truth.</x:v>
      </x:c>
      <x:c r="V25" s="39" t="str">
        <x:v>src/renderer/src/components/CommandCenterSurface.tsx; src/renderer/src/components/ConsolePrimitives.tsx</x:v>
      </x:c>
      <x:c r="W25" s="39" t="str">
        <x:v>1</x:v>
      </x:c>
      <x:c r="X25" s="39" t="str">
        <x:v>c0bf758</x:v>
      </x:c>
      <x:c r="Y25" s="39" t="str">
        <x:v>Verify no-data, no-match, and Clear filters states manually.</x:v>
      </x:c>
    </x:row>
    <x:row r="26" ht="70" customHeight="1">
      <x:c r="A26" s="51" t="str">
        <x:v>CLI-001</x:v>
      </x:c>
      <x:c r="B26" s="39" t="str">
        <x:v>Companion CLI</x:v>
      </x:c>
      <x:c r="C26" s="39" t="str">
        <x:v>Terminal</x:v>
      </x:c>
      <x:c r="D26" s="39" t="str">
        <x:v>As an operator, I can read a concise status or structured JSON snapshot from the same local registry.</x:v>
      </x:c>
      <x:c r="E26" s="39" t="str">
        <x:v>Local operator</x:v>
      </x:c>
      <x:c r="F26" s="39" t="str">
        <x:v>Local-only</x:v>
      </x:c>
      <x:c r="G26" s="39" t="str">
        <x:v>Registry exists or is empty</x:v>
      </x:c>
      <x:c r="H26" s="39" t="str">
        <x:v>Terminal</x:v>
      </x:c>
      <x:c r="I26" s="39" t="str">
        <x:v>`status` and `status --json` call the same Rust core and return human-readable or machine-readable output.</x:v>
      </x:c>
      <x:c r="J26" s="39" t="str">
        <x:v>CLI output is useful for scripts and agrees with the desktop snapshot model.</x:v>
      </x:c>
      <x:c r="K26" s="39" t="str">
        <x:v>src-tauri/src/core.rs:1469-1526; src-tauri/src/bin/pronto_cli.rs:1-3; /Users/jakyeamos/Downloads/pronto_prd.md:723-743</x:v>
      </x:c>
      <x:c r="L26" s="39" t="str">
        <x:v>CLI smoke</x:v>
      </x:c>
      <x:c r="M26" s="39" t="str">
        <x:v>pnpm cli:json; cargo run --manifest-path src-tauri/Cargo.toml --bin pronto_cli -- status</x:v>
      </x:c>
      <x:c r="N26" s="39" t="str">
        <x:v>JSON status exits successfully and uses the shared portfolio snapshot contract.</x:v>
      </x:c>
      <x:c r="O26" s="39" t="str">
        <x:v>Verified</x:v>
      </x:c>
      <x:c r="P26" s="39" t="str"/>
      <x:c r="Q26" s="39" t="str"/>
      <x:c r="R26" s="39" t="str"/>
      <x:c r="S26" s="39" t="str">
        <x:v>No: direct command smoke.</x:v>
      </x:c>
      <x:c r="T26" s="39" t="str">
        <x:v>CLI is a thin entry point; policy remains in shared core.</x:v>
      </x:c>
      <x:c r="U26" s="39" t="str">
        <x:v>src-tauri/src/core.rs:1498-1526; /Users/jakyeamos/Downloads/pronto_prd.md:723-743</x:v>
      </x:c>
      <x:c r="V26" s="39" t="str">
        <x:v>1</x:v>
      </x:c>
      <x:c r="W26" s="39" t="str">
        <x:v>c0bf758</x:v>
      </x:c>
      <x:c r="X26" s="39" t="str">
        <x:v>Implement desktop focus behavior for `pronto .` when the app lifecycle is available.</x:v>
      </x:c>
      <x:c r="Y26" s="39"/>
    </x:row>
    <x:row r="27" ht="70" customHeight="1">
      <x:c r="A27" s="51" t="str">
        <x:v>CLI-002</x:v>
      </x:c>
      <x:c r="B27" s="39" t="str">
        <x:v>Companion CLI</x:v>
      </x:c>
      <x:c r="C27" s="39" t="str">
        <x:v>Executable wrapper</x:v>
      </x:c>
      <x:c r="D27" s="39" t="str">
        <x:v>As an operator, I can invoke `pronto` through the package-installed wrapper.</x:v>
      </x:c>
      <x:c r="E27" s="39" t="str">
        <x:v>Local operator</x:v>
      </x:c>
      <x:c r="F27" s="39" t="str">
        <x:v>Local-only</x:v>
      </x:c>
      <x:c r="G27" s="39" t="str">
        <x:v>Rust toolchain available</x:v>
      </x:c>
      <x:c r="H27" s="39" t="str">
        <x:v>Terminal</x:v>
      </x:c>
      <x:c r="I27" s="39" t="str">
        <x:v>The Node wrapper forwards arguments to the native CLI without shell interpolation.</x:v>
      </x:c>
      <x:c r="J27" s="39" t="str">
        <x:v>CLI arguments are forwarded safely and output remains the shared Rust output.</x:v>
      </x:c>
      <x:c r="K27" s="39" t="str">
        <x:v>bin/pronto.mjs:1-22; /Users/jakyeamos/Downloads/pronto_prd.md:723-743</x:v>
      </x:c>
      <x:c r="L27" s="39" t="str">
        <x:v>CLI smoke + source review</x:v>
      </x:c>
      <x:c r="M27" s="39" t="str">
        <x:v>node bin/pronto.mjs status --json</x:v>
      </x:c>
      <x:c r="N27" s="39" t="str">
        <x:v>Wrapper exits successfully and returns JSON from the Rust binary.</x:v>
      </x:c>
      <x:c r="O27" s="39" t="str">
        <x:v>Verified</x:v>
      </x:c>
      <x:c r="P27" s="39" t="str"/>
      <x:c r="Q27" s="39" t="str"/>
      <x:c r="R27" s="39" t="str"/>
      <x:c r="S27" s="39" t="str">
        <x:v>No: direct command smoke.</x:v>
      </x:c>
      <x:c r="T27" s="39" t="str">
        <x:v>Wrapper is intentionally minimal; no duplicate business logic.</x:v>
      </x:c>
      <x:c r="U27" s="39" t="str">
        <x:v>bin/pronto.mjs:1-22; /Users/jakyeamos/Downloads/pronto_prd.md:723-743</x:v>
      </x:c>
      <x:c r="V27" s="39" t="str">
        <x:v>1</x:v>
      </x:c>
      <x:c r="W27" s="39" t="str">
        <x:v>c0bf758</x:v>
      </x:c>
      <x:c r="X27" s="39" t="str">
        <x:v>Package installation and `pronto .` focus behavior remain to be verified.</x:v>
      </x:c>
      <x:c r="Y27" s="39"/>
    </x:row>
    <x:row r="28" ht="70" customHeight="1">
      <x:c r="A28" s="51" t="str">
        <x:v>BUILD-001</x:v>
      </x:c>
      <x:c r="B28" s="39" t="str">
        <x:v>Distribution</x:v>
      </x:c>
      <x:c r="C28" s="39" t="str">
        <x:v>Tauri app bundle</x:v>
      </x:c>
      <x:c r="D28" s="39" t="str">
        <x:v>As an operator, I can build a desktop app bundle and DMG from the repository.</x:v>
      </x:c>
      <x:c r="E28" s="39" t="str">
        <x:v>Maintainer</x:v>
      </x:c>
      <x:c r="F28" s="39" t="str">
        <x:v>Local-only</x:v>
      </x:c>
      <x:c r="G28" s="39" t="str">
        <x:v>Rust toolchain and pnpm dependencies installed</x:v>
      </x:c>
      <x:c r="H28" s="39" t="str">
        <x:v>Build system</x:v>
      </x:c>
      <x:c r="I28" s="39" t="str">
        <x:v>The Tauri release build produces a macOS app bundle and DMG from the React renderer and Rust core.</x:v>
      </x:c>
      <x:c r="J28" s="39" t="str">
        <x:v>A reproducible build artifact exists without relying on a web-only preview.</x:v>
      </x:c>
      <x:c r="K28" s="39" t="str">
        <x:v>src-tauri/tauri.conf.json:1-40; package.json:1-53; /Users/jakyeamos/Downloads/pronto_prd.md:196-210, 926-934</x:v>
      </x:c>
      <x:c r="L28" s="39" t="str">
        <x:v>Production build</x:v>
      </x:c>
      <x:c r="M28" s="39" t="str">
        <x:v>pnpm build</x:v>
      </x:c>
      <x:c r="N28" s="39" t="str">
        <x:v>Release build previously produced `Pronto.app` and `Pronto_0.1.0_aarch64.dmg`; final incremental build is rerun below.</x:v>
      </x:c>
      <x:c r="O28" s="39" t="str">
        <x:v>Verified</x:v>
      </x:c>
      <x:c r="P28" s="39" t="str"/>
      <x:c r="Q28" s="39" t="str"/>
      <x:c r="R28" s="39" t="str"/>
      <x:c r="S28" s="39" t="str">
        <x:v>No: direct build output.</x:v>
      </x:c>
      <x:c r="T28" s="39" t="str">
        <x:v>Tauri keeps native access behind Rust commands and avoids a Node renderer runtime.</x:v>
      </x:c>
      <x:c r="U28" s="39" t="str">
        <x:v>package.json; /Users/jakyeamos/Downloads/pronto_prd.md:926-934</x:v>
      </x:c>
      <x:c r="V28" s="39" t="str">
        <x:v>1</x:v>
      </x:c>
      <x:c r="W28" s="39" t="str">
        <x:v>c0bf758</x:v>
      </x:c>
      <x:c r="X28" s="39" t="str">
        <x:v>Code signing/notarization is outside this local implementation.</x:v>
      </x:c>
      <x:c r="Y28" s="39"/>
    </x:row>
    <x:row r="29" ht="70" customHeight="1">
      <x:c r="A29" s="51" t="str">
        <x:v>SAFE-001</x:v>
      </x:c>
      <x:c r="B29" s="39" t="str">
        <x:v>Safety</x:v>
      </x:c>
      <x:c r="C29" s="39" t="str">
        <x:v>Native command boundary</x:v>
      </x:c>
      <x:c r="D29" s="39" t="str">
        <x:v>As an operator, I trust that the local scan cannot execute a user-controlled shell string or prohibited destructive Git action.</x:v>
      </x:c>
      <x:c r="E29" s="39" t="str">
        <x:v>Local operator</x:v>
      </x:c>
      <x:c r="F29" s="39" t="str">
        <x:v>Local-only</x:v>
      </x:c>
      <x:c r="G29" s="39" t="str">
        <x:v>Any repository path or branch name may contain shell-special characters</x:v>
      </x:c>
      <x:c r="H29" s="39" t="str">
        <x:v>Native core</x:v>
      </x:c>
      <x:c r="I29" s="39" t="str">
        <x:v>Git calls use structured argument arrays and the current slice exposes only scan, persistence, and expected-state mutations.</x:v>
      </x:c>
      <x:c r="J29" s="39" t="str">
        <x:v>No force push, hard reset, destructive checkout, branch deletion, or history rewrite is reachable in the implemented surface.</x:v>
      </x:c>
      <x:c r="K29" s="39" t="str">
        <x:v>src-tauri/src/core.rs:251-297, 1434-1467; /Users/jakyeamos/Downloads/pronto_prd.md:541-551, 1175-1183</x:v>
      </x:c>
      <x:c r="L29" s="39" t="str">
        <x:v>Static safety audit + hook-mode tests</x:v>
      </x:c>
      <x:c r="M29" s="39" t="str">
        <x:v>rg 'Command::new|git ' src-tauri/src; GIT_INDEX_FILE=.git/index pnpm test; pre-cr run --workspace .</x:v>
      </x:c>
      <x:c r="N29" s="39" t="str">
        <x:v>Structured process invocation is the only Git boundary; hook-mode tests pass after inherited Git env sanitization.</x:v>
      </x:c>
      <x:c r="O29" s="39" t="str">
        <x:v>Verified</x:v>
      </x:c>
      <x:c r="P29" s="39" t="str"/>
      <x:c r="Q29" s="39" t="str"/>
      <x:c r="R29" s="39" t="str"/>
      <x:c r="S29" s="39" t="str">
        <x:v>Yes: regression protects hook environment contamination; no destructive action test needed for absent commands.</x:v>
      </x:c>
      <x:c r="T29" s="39" t="str">
        <x:v>Safety gate is explicit and small; adding actions requires a separate preflight/audit phase.</x:v>
      </x:c>
      <x:c r="U29" s="39" t="str">
        <x:v>src-tauri/src/core.rs:251-297; /Users/jakyeamos/Downloads/pronto_prd.md:541-551, 1175-1183</x:v>
      </x:c>
      <x:c r="V29" s="39" t="str">
        <x:v>1</x:v>
      </x:c>
      <x:c r="W29" s="39" t="str">
        <x:v>c0bf758</x:v>
      </x:c>
      <x:c r="X29" s="39" t="str">
        <x:v>Add action-tier audit tests only when modifying actions are authorized and implemented.</x:v>
      </x:c>
      <x:c r="Y29" s="39"/>
    </x:row>
    <x:row r="30" ht="70" customHeight="1">
      <x:c r="A30" s="51" t="str">
        <x:v>PROV-001</x:v>
      </x:c>
      <x:c r="B30" s="39" t="str">
        <x:v>Provider</x:v>
      </x:c>
      <x:c r="C30" s="39" t="str">
        <x:v>GitHub identities / refresh</x:v>
      </x:c>
      <x:c r="D30" s="39" t="str">
        <x:v>As an operator, I can refresh a read-only GitHub identity and repository snapshot and see unavailable authentication explicitly.</x:v>
      </x:c>
      <x:c r="E30" s="39" t="str">
        <x:v>Provider-connected operator</x:v>
      </x:c>
      <x:c r="F30" s="39" t="str">
        <x:v>Provider auth required</x:v>
      </x:c>
      <x:c r="G30" s="39" t="str">
        <x:v>GitHub account and OS credential-store permissions</x:v>
      </x:c>
      <x:c r="H30" s="39" t="str">
        <x:v>Desktop + provider API</x:v>
      </x:c>
      <x:c r="I30" s="39" t="str">
        <x:v>The GitHub CLI adapter reads the authenticated user, paginated repositories, pull requests, and releases; refresh persists sanitized snapshots and changes to Unavailable without destroying the last known snapshot when auth is missing.</x:v>
      </x:c>
      <x:c r="J30" s="39" t="str">
        <x:v>A read-only provider refresh can explain identity, locality, freshness, and unavailable credentials without claiming clone, write, or merge authority.</x:v>
      </x:c>
      <x:c r="K30" s="39" t="str">
        <x:v>src-tauri/src/core.rs:1355-1464, 1676-1765, 6400-6539; src/renderer/src/components/RemoteCatalogSurface.tsx; /Users/jakyeamos/Downloads/pronto_prd.md:296-306, 974-987</x:v>
      </x:c>
      <x:c r="L30" s="39" t="str">
        <x:v>Rust parser/provider refresh regression + source review + authenticated desktop check</x:v>
      </x:c>
      <x:c r="M30" s="39" t="str">
        <x:v>cargo test --manifest-path src-tauri/Cargo.toml --offline; click Remote catalog → Refresh GitHub</x:v>
      </x:c>
      <x:c r="N30" s="39" t="str">
        <x:v>Provider parsing, local/remote matching, persistence, and unavailable-state transitions are regression-covered; live refresh requires an authenticated gh environment.</x:v>
      </x:c>
      <x:c r="O30" s="39" t="str">
        <x:v>Regression-Covered</x:v>
      </x:c>
      <x:c r="P30" s="39" t="str"/>
      <x:c r="Q30" s="39" t="str">
        <x:v>Environment</x:v>
      </x:c>
      <x:c r="R30" s="39" t="str">
        <x:v>The repository uses the existing gh credential path; live auth and permission scope cannot be proven by offline fixtures.</x:v>
      </x:c>
      <x:c r="S30" s="39" t="str">
        <x:v>Implemented a provider-neutral refresh contract with GitHub CLI adapter, sanitized identity/repository snapshots, explicit unavailable state, and no provider mutations.</x:v>
      </x:c>
      <x:c r="T30" s="39" t="str">
        <x:v>Yes: parser and provider-refresh fixture assertions.</x:v>
      </x:c>
      <x:c r="U30" s="39" t="str">
        <x:v>Provider state remains a timestamped snapshot and never overwrites local Git truth.</x:v>
      </x:c>
      <x:c r="V30" s="39" t="str">
        <x:v>/Users/jakyeamos/Downloads/pronto_prd.md:296-306, 974-987; src-tauri/src/core.rs:1355-1765</x:v>
      </x:c>
      <x:c r="W30" s="39" t="str">
        <x:v>1</x:v>
      </x:c>
      <x:c r="X30" s="39" t="str">
        <x:v>c0bf758</x:v>
      </x:c>
      <x:c r="Y30" s="39" t="str">
        <x:v>Multiple-provider identity selection and richer organization permissions remain outside this read-only GitHub adapter.</x:v>
      </x:c>
    </x:row>
    <x:row r="31" ht="70" customHeight="1">
      <x:c r="A31" s="51" t="str">
        <x:v>REMOTE-001</x:v>
      </x:c>
      <x:c r="B31" s="39" t="str">
        <x:v>Remote catalog</x:v>
      </x:c>
      <x:c r="C31" s="39" t="str">
        <x:v>Remote-only / clone</x:v>
      </x:c>
      <x:c r="D31" s="39" t="str">
        <x:v>As an operator, I can inspect a remote-only GitHub repository and see whether it matches a local checkout.</x:v>
      </x:c>
      <x:c r="E31" s="39" t="str">
        <x:v>Provider-connected operator</x:v>
      </x:c>
      <x:c r="F31" s="39" t="str">
        <x:v>Provider auth required</x:v>
      </x:c>
      <x:c r="G31" s="39" t="str">
        <x:v>Read-only GitHub repository snapshot</x:v>
      </x:c>
      <x:c r="H31" s="39" t="str">
        <x:v>Desktop + network</x:v>
      </x:c>
      <x:c r="I31" s="39" t="str">
        <x:v>The read-only Remote catalog persists remote-only and local-and-remote labels, default branch, archive state, URL, identity, and refresh time; clone remains absent.</x:v>
      </x:c>
      <x:c r="J31" s="39" t="str">
        <x:v>A remote repository is not represented as local until a separately authorized clone succeeds and a local scan registers it.</x:v>
      </x:c>
      <x:c r="K31" s="39" t="str">
        <x:v>src-tauri/src/core.rs:1466-1656, 1676-1743, 6400-6539; src/renderer/src/components/RemoteCatalogSurface.tsx; /Users/jakyeamos/Downloads/pronto_prd.md:280-286, 849-857</x:v>
      </x:c>
      <x:c r="L31" s="39" t="str">
        <x:v>Rust parser/provider fixture + renderer build + authenticated desktop check</x:v>
      </x:c>
      <x:c r="M31" s="39" t="str">
        <x:v>cargo test --manifest-path src-tauri/Cargo.toml --offline; open Remote catalog</x:v>
      </x:c>
      <x:c r="N31" s="39" t="str">
        <x:v>Remote-only parsing and local/remote matching are regression-covered; live catalog refresh requires authenticated gh; no clone command is exposed.</x:v>
      </x:c>
      <x:c r="O31" s="39" t="str">
        <x:v>Regression-Covered</x:v>
      </x:c>
      <x:c r="P31" s="39" t="str"/>
      <x:c r="Q31" s="39" t="str">
        <x:v>Dependency</x:v>
      </x:c>
      <x:c r="R31" s="39" t="str">
        <x:v>Clone still requires network, exact destination authorization, fresh preflight, and post-scan audit.</x:v>
      </x:c>
      <x:c r="S31" s="39" t="str">
        <x:v>Implemented the read-only remote catalog and kept clone explicitly outside the allowed action surface.</x:v>
      </x:c>
      <x:c r="T31" s="39" t="str">
        <x:v>Yes: remote parser and local-match assertions.</x:v>
      </x:c>
      <x:c r="U31" s="39" t="str">
        <x:v>Remote state is a provider snapshot and cannot imply a local working copy.</x:v>
      </x:c>
      <x:c r="V31" s="39" t="str">
        <x:v>/Users/jakyeamos/Downloads/pronto_prd.md:280-286, 849-857; src-tauri/src/core.rs:1676-1743</x:v>
      </x:c>
      <x:c r="W31" s="39" t="str">
        <x:v>1</x:v>
      </x:c>
      <x:c r="X31" s="39" t="str">
        <x:v>c0bf758</x:v>
      </x:c>
      <x:c r="Y31" s="39" t="str">
        <x:v>Define clone destination and audit semantics before adding the modifying action.</x:v>
      </x:c>
    </x:row>
    <x:row r="32" ht="70" customHeight="1">
      <x:c r="A32" s="51" t="str">
        <x:v>ACTION-001</x:v>
      </x:c>
      <x:c r="B32" s="39" t="str">
        <x:v>Safe actions</x:v>
      </x:c>
      <x:c r="C32" s="39" t="str">
        <x:v>Preflight / audit</x:v>
      </x:c>
      <x:c r="D32" s="39" t="str">
        <x:v>As an operator, I can see exact targets and fresh preflight evidence before a modifying action runs.</x:v>
      </x:c>
      <x:c r="E32" s="39" t="str">
        <x:v>Local operator</x:v>
      </x:c>
      <x:c r="F32" s="39" t="str">
        <x:v>Local-only or provider auth</x:v>
      </x:c>
      <x:c r="G32" s="39" t="str">
        <x:v>A bounded modifying action is explicitly authorized</x:v>
      </x:c>
      <x:c r="H32" s="39" t="str">
        <x:v>Desktop + native core</x:v>
      </x:c>
      <x:c r="I32" s="39" t="str">
        <x:v>The current slice exposes no modifying Git action; read-only refresh/inspect preflights and durable audits are implemented without overstating modifying-action support.</x:v>
      </x:c>
      <x:c r="J32" s="39" t="str">
        <x:v>No modifying action is available without a fresh preflight, exact target, audit record, and post-action rescan; unsupported actions are recorded as blocked.</x:v>
      </x:c>
      <x:c r="K32" s="39" t="str">
        <x:v>docs/implementation-plan.md:49-54; /Users/jakyeamos/Downloads/pronto_prd.md:529-551, 1173-1183</x:v>
      </x:c>
      <x:c r="L32" s="39" t="str">
        <x:v>Boundary review</x:v>
      </x:c>
      <x:c r="M32" s="39" t="str">
        <x:v>Deferred until action policy is implemented</x:v>
      </x:c>
      <x:c r="N32" s="39" t="str">
        <x:v>No modifying action adapter exists in this implementation; the read-only foundation is covered by ACTION-002.</x:v>
      </x:c>
      <x:c r="O32" s="39" t="str">
        <x:v>Needs-Environment</x:v>
      </x:c>
      <x:c r="P32" s="39" t="str"/>
      <x:c r="Q32" s="39" t="str">
        <x:v>Dependency</x:v>
      </x:c>
      <x:c r="R32" s="39" t="str">
        <x:v>Requires action tiers, permission policy, audit schema, and failure semantics.</x:v>
      </x:c>
      <x:c r="S32" s="39" t="str">
        <x:v>Read-only slice keeps modifying operations absent while recording explicit safe-action boundaries.</x:v>
      </x:c>
      <x:c r="T32" s="39" t="str">
        <x:v>No.</x:v>
      </x:c>
      <x:c r="U32" s="39" t="str">
        <x:v>Do not add modifying action buttons before the preflight/audit contract is testable.</x:v>
      </x:c>
      <x:c r="V32" s="39" t="str">
        <x:v>pronto_prd.md:529-551</x:v>
      </x:c>
      <x:c r="W32" s="39" t="str">
        <x:v>1</x:v>
      </x:c>
      <x:c r="X32" s="39" t="str">
        <x:v>c0bf758</x:v>
      </x:c>
      <x:c r="Y32" s="39" t="str">
        <x:v>Phase 2 must add destination-specific permission and post-action verification before any modifying command.</x:v>
      </x:c>
    </x:row>
    <x:row r="33" ht="70" customHeight="1">
      <x:c r="A33" s="51" t="str">
        <x:v>ACTION-002</x:v>
      </x:c>
      <x:c r="B33" s="39" t="str">
        <x:v>Safe actions</x:v>
      </x:c>
      <x:c r="C33" s="39" t="str">
        <x:v>Preflight / Activity</x:v>
      </x:c>
      <x:c r="D33" s="39" t="str">
        <x:v>As an operator, I can preflight a read-only local action and review its durable audit outcome.</x:v>
      </x:c>
      <x:c r="E33" s="39" t="str">
        <x:v>Local operator</x:v>
      </x:c>
      <x:c r="F33" s="39" t="str">
        <x:v>Local-only</x:v>
      </x:c>
      <x:c r="G33" s="39" t="str">
        <x:v>Registered roots or scanned repositories</x:v>
      </x:c>
      <x:c r="H33" s="39" t="str">
        <x:v>Desktop + native core</x:v>
      </x:c>
      <x:c r="I33" s="39" t="str">
        <x:v>The native allowlist permits refresh and inspect as read-only actions, resolves exact root/repository target IDs, records rejected unsupported actions, and completes refresh audits after the local scan.</x:v>
      </x:c>
      <x:c r="J33" s="39" t="str">
        <x:v>I can see what local action was considered, its risk/status, and the exact target boundary without any Git mutation or provider write.</x:v>
      </x:c>
      <x:c r="K33" s="39" t="str">
        <x:v>src-tauri/src/core.rs:1739-1924, 2050-2063, 2205-2250; src-tauri/src/lib.rs:18-26; src/renderer/src/api.ts; src/renderer/src/components/WorkspaceSurfaces.tsx:45-99; /Users/jakyeamos/Downloads/pronto_prd.md:529-551, 1173-1183</x:v>
      </x:c>
      <x:c r="L33" s="39" t="str">
        <x:v>Rust regression + typecheck/build + Activity source review</x:v>
      </x:c>
      <x:c r="M33" s="39" t="str">
        <x:v>cargo test --manifest-path src-tauri/Cargo.toml --offline; pnpm typecheck; pnpm build:web</x:v>
      </x:c>
      <x:c r="N33" s="39" t="str">
        <x:v>Twenty Rust tests pass, including allowed/rejected preflights, completed scoped refresh audits, schema migration, provider snapshots, local configuration, AI privacy, release preparation, and same-second transition persistence; Activity renders audit rows.</x:v>
      </x:c>
      <x:c r="O33" s="39" t="str">
        <x:v>Regression-Covered</x:v>
      </x:c>
      <x:c r="P33" s="39" t="str"/>
      <x:c r="Q33" s="39" t="str"/>
      <x:c r="R33" s="39" t="str"/>
      <x:c r="S33" s="39" t="str">
        <x:v>Yes: preflight, rejected-action, completed-refresh, scoped-target, migration, provider, AI, release, and collision regression tests.</x:v>
      </x:c>
      <x:c r="T33" s="39" t="str">
        <x:v>Explicit allowlist and one persistence path keep action policy out of display components; modifying operations remain absent.</x:v>
      </x:c>
      <x:c r="U33" s="39" t="str">
        <x:v>Yes: native Rust regression coverage.</x:v>
      </x:c>
      <x:c r="V33" s="39" t="str">
        <x:v>c0bf758 source/test output</x:v>
      </x:c>
      <x:c r="W33" s="39" t="str">
        <x:v>2</x:v>
      </x:c>
      <x:c r="X33" s="39" t="str">
        <x:v>c0bf758</x:v>
      </x:c>
      <x:c r="Y33" s="39" t="str">
        <x:v>Read-only inspect is preflight-only; add modifying actions only with destination-specific permission and post-action verification.</x:v>
      </x:c>
    </x:row>
    <x:row r="34" ht="70" customHeight="1">
      <x:c r="A34" s="51" t="str">
        <x:v>HANDOFF-001</x:v>
      </x:c>
      <x:c r="B34" s="39" t="str">
        <x:v>Workspace handoff</x:v>
      </x:c>
      <x:c r="C34" s="39" t="str">
        <x:v>Exact workspace / external tools</x:v>
      </x:c>
      <x:c r="D34" s="39" t="str">
        <x:v>As an operator, I can open the exact registered workspace in Finder, Terminal, Visual Studio Code, or GitHub Desktop without changing repository state.</x:v>
      </x:c>
      <x:c r="E34" s="39" t="str">
        <x:v>Local operator</x:v>
      </x:c>
      <x:c r="F34" s="39" t="str">
        <x:v>macOS local-only</x:v>
      </x:c>
      <x:c r="G34" s="39" t="str">
        <x:v>Registered repository and exact workspace ID</x:v>
      </x:c>
      <x:c r="H34" s="39" t="str">
        <x:v>Desktop + macOS</x:v>
      </x:c>
      <x:c r="I34" s="39" t="str">
        <x:v>The handoff command validates repository and workspace identity, accepts only fixed supported tools, and invokes structured macOS open arguments without staging, committing, or mutating registry state.</x:v>
      </x:c>
      <x:c r="J34" s="39" t="str">
        <x:v>A handoff opens the intended workspace and rejects unknown targets/tools clearly; it never becomes a hidden Git action.</x:v>
      </x:c>
      <x:c r="K34" s="39" t="str">
        <x:v>src-tauri/src/core.rs:5247-5290, 6000-6068; src/renderer/src/components/Drawers.tsx:142-169; /Users/jakyeamos/Downloads/pronto_prd.md:469-487</x:v>
      </x:c>
      <x:c r="L34" s="39" t="str">
        <x:v>Rust target/tool regression + desktop interaction check</x:v>
      </x:c>
      <x:c r="M34" s="39" t="str">
        <x:v>cargo test --manifest-path src-tauri/Cargo.toml --offline; open a repository drawer and choose a workspace tool</x:v>
      </x:c>
      <x:c r="N34" s="39" t="str">
        <x:v>Unknown workspace and unsupported tool are rejected by regression tests; successful macOS launch still requires a live desktop pass.</x:v>
      </x:c>
      <x:c r="O34" s="39" t="str">
        <x:v>Regression-Covered</x:v>
      </x:c>
      <x:c r="P34" s="39" t="str"/>
      <x:c r="Q34" s="39" t="str">
        <x:v>Environment</x:v>
      </x:c>
      <x:c r="R34" s="39" t="str">
        <x:v>The local test suite cannot prove Finder, Terminal, VS Code, or GitHub Desktop availability and focus behavior.</x:v>
      </x:c>
      <x:c r="S34" s="39" t="str">
        <x:v>Added exact workspace lookup, fixed tool allowlist, structured `/usr/bin/open` argument construction, and no registry mutation.</x:v>
      </x:c>
      <x:c r="T34" s="39" t="str">
        <x:v>Yes: unknown-workspace and unsupported-tool assertions.</x:v>
      </x:c>
      <x:c r="U34" s="39" t="str">
        <x:v>The target boundary is validated before launch; no arbitrary application or shell string is accepted.</x:v>
      </x:c>
      <x:c r="V34" s="39" t="str">
        <x:v>/Users/jakyeamos/Downloads/pronto_prd.md:469-487; src-tauri/src/core.rs:5247-5290</x:v>
      </x:c>
      <x:c r="W34" s="39" t="str">
        <x:v>1</x:v>
      </x:c>
      <x:c r="X34" s="39" t="str">
        <x:v>c0bf758</x:v>
      </x:c>
      <x:c r="Y34" s="39" t="str">
        <x:v>Verify one successful launch per installed tool on macOS; keep non-macOS mappings deferred.</x:v>
      </x:c>
    </x:row>
    <x:row r="35" ht="70" customHeight="1">
      <x:c r="A35" s="51" t="str">
        <x:v>PR-001</x:v>
      </x:c>
      <x:c r="B35" s="39" t="str">
        <x:v>Pull requests</x:v>
      </x:c>
      <x:c r="C35" s="39" t="str">
        <x:v>Read-only PR evidence</x:v>
      </x:c>
      <x:c r="D35" s="39" t="str">
        <x:v>As an operator, I can inspect a matching pull request and see checks, reviews, draft state, mergeability, and freshness without creating or merging it.</x:v>
      </x:c>
      <x:c r="E35" s="39" t="str">
        <x:v>Provider-connected operator</x:v>
      </x:c>
      <x:c r="F35" s="39" t="str">
        <x:v>Provider auth required</x:v>
      </x:c>
      <x:c r="G35" s="39" t="str">
        <x:v>Known head/base, checks, reviews, and provider identity</x:v>
      </x:c>
      <x:c r="H35" s="39" t="str">
        <x:v>Desktop + provider API</x:v>
      </x:c>
      <x:c r="I35" s="39" t="str">
        <x:v>Preparation matches provider PR snapshots to the selected workspace and preserves unknown checks, reviews, and mergeability; the UI exposes evidence without write controls.</x:v>
      </x:c>
      <x:c r="J35" s="39" t="str">
        <x:v>Unknown checks or reviews never become a merge-eligible state, and a preview cannot create or merge a PR.</x:v>
      </x:c>
      <x:c r="K35" s="39" t="str">
        <x:v>src-tauri/src/core.rs:3374-3465, 6100-6185; src/renderer/src/components/PreparationDrawer.tsx; /Users/jakyeamos/Downloads/pronto_prd.md:555-571, 1185-1189</x:v>
      </x:c>
      <x:c r="L35" s="39" t="str">
        <x:v>Rust preparation regression + renderer build + authenticated desktop check</x:v>
      </x:c>
      <x:c r="M35" s="39" t="str">
        <x:v>cargo test --manifest-path src-tauri/Cargo.toml --offline; open repository preparation</x:v>
      </x:c>
      <x:c r="N35" s="39" t="str">
        <x:v>Fixture asserts matching PR number, base branch, commit count, pending checks, and unknown provider detail; live provider refresh remains environment-limited.</x:v>
      </x:c>
      <x:c r="O35" s="39" t="str">
        <x:v>Regression-Covered</x:v>
      </x:c>
      <x:c r="P35" s="39" t="str"/>
      <x:c r="Q35" s="39" t="str">
        <x:v>Dependency</x:v>
      </x:c>
      <x:c r="R35" s="39" t="str">
        <x:v>Create/merge still require provider write permissions, fresh preflight, exact-target audit, and post-action verification.</x:v>
      </x:c>
      <x:c r="S35" s="39" t="str">
        <x:v>Implemented read-only PR evidence and kept PR creation, approval, and merge outside the action surface.</x:v>
      </x:c>
      <x:c r="T35" s="39" t="str">
        <x:v>Yes: deterministic preparation fixture.</x:v>
      </x:c>
      <x:c r="U35" s="39" t="str">
        <x:v>Provider evidence is additive; local branch and dirty state remain independently visible.</x:v>
      </x:c>
      <x:c r="V35" s="39" t="str">
        <x:v>/Users/jakyeamos/Downloads/pronto_prd.md:555-571, 1185-1189; src-tauri/src/core.rs:3374-3465</x:v>
      </x:c>
      <x:c r="W35" s="39" t="str">
        <x:v>1</x:v>
      </x:c>
      <x:c r="X35" s="39" t="str">
        <x:v>c0bf758</x:v>
      </x:c>
      <x:c r="Y35" s="39" t="str">
        <x:v>Add provider-backed write permissions and post-action verification before any PR mutation.</x:v>
      </x:c>
    </x:row>
    <x:row r="36" ht="70" customHeight="1">
      <x:c r="A36" s="51" t="str">
        <x:v>REL-001</x:v>
      </x:c>
      <x:c r="B36" s="39" t="str">
        <x:v>Releases</x:v>
      </x:c>
      <x:c r="C36" s="39" t="str">
        <x:v>Release preparation</x:v>
      </x:c>
      <x:c r="D36" s="39" t="str">
        <x:v>As an operator, I can inspect a deterministic release candidate, threshold trace, notes, recipe, and version confirmation without executing or publishing it.</x:v>
      </x:c>
      <x:c r="E36" s="39" t="str">
        <x:v>Release maintainer</x:v>
      </x:c>
      <x:c r="F36" s="39" t="str">
        <x:v>Provider auth required</x:v>
      </x:c>
      <x:c r="G36" s="39" t="str">
        <x:v>Published release baseline, configured rule, clean workspace, and explicit recipe/version confirmation</x:v>
      </x:c>
      <x:c r="H36" s="39" t="str">
        <x:v>Desktop + provider API</x:v>
      </x:c>
      <x:c r="I36" s="39" t="str">
        <x:v>Preparation shows published baseline, semantic bump, categorized commits, exact rule trace, the `Configured release threshold met` queue condition when provider context is ready, validated recipe metadata, and a nine-step preview whose actions_performed flag remains false.</x:v>
      </x:c>
      <x:c r="J36" s="39" t="str">
        <x:v>A release candidate is explainable and requires explicit version confirmation; no worktree, script, generated file, commit, push, PR, or release publication occurs from preview.</x:v>
      </x:c>
      <x:c r="K36" s="39" t="str">
        <x:v>src-tauri/src/core.rs:3110-3369, 3871-4015, 4935-5036, 6179-6291; src/renderer/src/components/PreparationDrawer.tsx; src/renderer/src/components/ReleaseRecipePanel.tsx; /Users/jakyeamos/Downloads/pronto_prd.md:575-655, 1191-1203</x:v>
      </x:c>
      <x:c r="L36" s="39" t="str">
        <x:v>Rust deterministic preparation regression + renderer build + authenticated desktop check</x:v>
      </x:c>
      <x:c r="M36" s="39" t="str">
        <x:v>cargo test --manifest-path src-tauri/Cargo.toml --offline; configure rule/recipe/version in repository preparation</x:v>
      </x:c>
      <x:c r="N36" s="39" t="str">
        <x:v>Fixture asserts baseline, major candidate, three rule traces, threshold queue condition, stale-version rejection, unsafe recipe rejection, confirmed version, nine steps, and actions_performed=false.</x:v>
      </x:c>
      <x:c r="O36" s="39" t="str">
        <x:v>Regression-Covered</x:v>
      </x:c>
      <x:c r="P36" s="39" t="str"/>
      <x:c r="Q36" s="39" t="str">
        <x:v>Dependency</x:v>
      </x:c>
      <x:c r="R36" s="39" t="str">
        <x:v>Executing the configured recipe still requires a separate worktree/command runner, exact generated-file diff review, commit/push/PR permissions, and release publication authorization.</x:v>
      </x:c>
      <x:c r="S36" s="39" t="str">
        <x:v>Implemented deterministic local release intelligence and safe preparation preview while preserving every external or modifying step as a visible blocked boundary.</x:v>
      </x:c>
      <x:c r="T36" s="39" t="str">
        <x:v>Yes: release rule, threshold, recipe validation, version confirmation, and preparation regression assertions.</x:v>
      </x:c>
      <x:c r="U36" s="39" t="str">
        <x:v>No release automation is inferred from local commit counts; provider freshness and recipe execution remain explicit.</x:v>
      </x:c>
      <x:c r="V36" s="39" t="str">
        <x:v>/Users/jakyeamos/Downloads/pronto_prd.md:575-655, 1191-1203; src-tauri/src/core.rs:3110-3465, 3871-4015</x:v>
      </x:c>
      <x:c r="W36" s="39" t="str">
        <x:v>1</x:v>
      </x:c>
      <x:c r="X36" s="39" t="str">
        <x:v>c0bf758</x:v>
      </x:c>
      <x:c r="Y36" s="39" t="str">
        <x:v>Define execution audit events and destination-specific publication permissions before enabling any recipe step.</x:v>
      </x:c>
    </x:row>
    <x:row r="37" ht="70" customHeight="1">
      <x:c r="A37" s="51" t="str">
        <x:v>PROC-001</x:v>
      </x:c>
      <x:c r="B37" s="39" t="str">
        <x:v>Agent workspaces</x:v>
      </x:c>
      <x:c r="C37" s="39" t="str">
        <x:v>Process / terminal evidence</x:v>
      </x:c>
      <x:c r="D37" s="39" t="str">
        <x:v>As an operator, I can tell whether an agent workspace has process or manifest evidence without exposing terminal contents.</x:v>
      </x:c>
      <x:c r="E37" s="39" t="str">
        <x:v>Local operator</x:v>
      </x:c>
      <x:c r="F37" s="39" t="str">
        <x:v>Local permission required</x:v>
      </x:c>
      <x:c r="G37" s="39" t="str">
        <x:v>Linked workspace, optional safe `.pronto/agent.json`, and OS process inspection permission</x:v>
      </x:c>
      <x:c r="H37" s="39" t="str">
        <x:v>Desktop + native adapters</x:v>
      </x:c>
      <x:c r="I37" s="39" t="str">
        <x:v>Workspace activity combines safe manifest metadata and candidate-process working-directory evidence; unsupported or permission-limited inspection yields `Activity state uncertain` rather than inactive.</x:v>
      </x:c>
      <x:c r="J37" s="39" t="str">
        <x:v>Unknown process evidence remains unknown, while active manifest/process signals block integration eligibility; terminal contents, prompts, keystrokes, and source text are never captured.</x:v>
      </x:c>
      <x:c r="K37" s="39" t="str">
        <x:v>src-tauri/src/core.rs:216-291, 2475-2815, 5959-5982; src/renderer/src/components/Drawers.tsx:116-142; /Users/jakyeamos/Downloads/pronto_prd.md:489-525, 1165-1171</x:v>
      </x:c>
      <x:c r="L37" s="39" t="str">
        <x:v>Rust manifest/activity regression + source review + desktop check</x:v>
      </x:c>
      <x:c r="M37" s="39" t="str">
        <x:v>cargo test --manifest-path src-tauri/Cargo.toml --offline; open a repository workspace with `.pronto/agent.json`</x:v>
      </x:c>
      <x:c r="N37" s="39" t="str">
        <x:v>Manifest fixture yields Active/High confidence, target evidence, and no terminal content; process correlation remains platform/permission-sensitive.</x:v>
      </x:c>
      <x:c r="O37" s="39" t="str">
        <x:v>Regression-Covered</x:v>
      </x:c>
      <x:c r="P37" s="39" t="str"/>
      <x:c r="Q37" s="39" t="str">
        <x:v>Dependency</x:v>
      </x:c>
      <x:c r="R37" s="39" t="str">
        <x:v>Cross-platform process APIs and OS permission can still make the activity state uncertain.</x:v>
      </x:c>
      <x:c r="S37" s="39" t="str">
        <x:v>Added safe manifest parsing, platform-specific process working-directory probes, explicit confidence language, and integration blocking for active workspaces.</x:v>
      </x:c>
      <x:c r="T37" s="39" t="str">
        <x:v>Yes: manifest parsing, privacy, and active-workspace integration-blocking assertions.</x:v>
      </x:c>
      <x:c r="U37" s="39" t="str">
        <x:v>Activity is evidence, not a cleanup authorization; no terminal capture is introduced.</x:v>
      </x:c>
      <x:c r="V37" s="39" t="str">
        <x:v>/Users/jakyeamos/Downloads/pronto_prd.md:489-525, 1165-1171; src-tauri/src/core.rs:2475-2815</x:v>
      </x:c>
      <x:c r="W37" s="39" t="str">
        <x:v>1</x:v>
      </x:c>
      <x:c r="X37" s="39" t="str">
        <x:v>c0bf758</x:v>
      </x:c>
      <x:c r="Y37" s="39" t="str">
        <x:v>Add more agent manifest schemas only after preserving the same safe-field and uncertainty contract.</x:v>
      </x:c>
    </x:row>
    <x:row r="38" ht="70" customHeight="1">
      <x:c r="A38" s="51" t="str">
        <x:v>GROUP-001</x:v>
      </x:c>
      <x:c r="B38" s="39" t="str">
        <x:v>Products</x:v>
      </x:c>
      <x:c r="C38" s="39" t="str">
        <x:v>Products / groups</x:v>
      </x:c>
      <x:c r="D38" s="39" t="str">
        <x:v>As an operator, I can manually configure products and groups with explicit repository membership without hiding repository-level evidence.</x:v>
      </x:c>
      <x:c r="E38" s="39" t="str">
        <x:v>Portfolio operator</x:v>
      </x:c>
      <x:c r="F38" s="39" t="str">
        <x:v>Local-only</x:v>
      </x:c>
      <x:c r="G38" s="39" t="str">
        <x:v>Versioned SQLite registry and participating repository IDs</x:v>
      </x:c>
      <x:c r="H38" s="39" t="str">
        <x:v>Desktop 1280×800</x:v>
      </x:c>
      <x:c r="I38" s="39" t="str">
        <x:v>Manual product/group create, edit, delete, explicit membership, product release mode, and case-insensitive collection filtering persist locally and remain repository-first.</x:v>
      </x:c>
      <x:c r="J38" s="39" t="str">
        <x:v>No aggregate product health or coordinated release status is inferred; membership and release policy remain visible configuration.</x:v>
      </x:c>
      <x:c r="K38" s="39" t="str">
        <x:v>src-tauri/src/core.rs:44-80, 686-710, 5081-5174, 6865-6963; src/renderer/src/components/PortfolioConfigSurface.tsx; /Users/jakyeamos/Downloads/pronto_prd.md:227-238, 659-677</x:v>
      </x:c>
      <x:c r="L38" s="39" t="str">
        <x:v>Rust configuration regression + renderer build + desktop interaction check</x:v>
      </x:c>
      <x:c r="M38" s="39" t="str">
        <x:v>cargo test --manifest-path src-tauri/Cargo.toml --offline; open Products/Groups and save a manual configuration</x:v>
      </x:c>
      <x:c r="N38" s="39" t="str">
        <x:v>Fixture persists product/group membership, release mode, filtering, targeted refresh, and deletion; live form interaction remains an environment check.</x:v>
      </x:c>
      <x:c r="O38" s="39" t="str">
        <x:v>Regression-Covered</x:v>
      </x:c>
      <x:c r="P38" s="39" t="str"/>
      <x:c r="Q38" s="39" t="str">
        <x:v>Product</x:v>
      </x:c>
      <x:c r="R38" s="39" t="str">
        <x:v>Coordinated release, aggregate health, and inferred group membership remain intentionally absent.</x:v>
      </x:c>
      <x:c r="S38" s="39" t="str">
        <x:v>Implemented manual durable product/group configuration and repository-scoped targeting without inventing aggregate health.</x:v>
      </x:c>
      <x:c r="T38" s="39" t="str">
        <x:v>Yes: product/group/lifecycle/retention persistence regression.</x:v>
      </x:c>
      <x:c r="U38" s="39" t="str">
        <x:v>The accepted manual direction is now implemented; coordinated release remains a separate design and authority gate.</x:v>
      </x:c>
      <x:c r="V38" s="39" t="str">
        <x:v>/Users/jakyeamos/Downloads/pronto_prd.md:227-238, 659-677; src-tauri/src/core.rs:5081-5174</x:v>
      </x:c>
      <x:c r="W38" s="39" t="str">
        <x:v>1</x:v>
      </x:c>
      <x:c r="X38" s="39" t="str">
        <x:v>c0bf758</x:v>
      </x:c>
      <x:c r="Y38" s="39" t="str">
        <x:v>Define coordinated-release semantics before adding any aggregate mutation or publication control.</x:v>
      </x:c>
    </x:row>
    <x:row r="39" ht="70" customHeight="1">
      <x:c r="A39" s="51" t="str">
        <x:v>AI-001</x:v>
      </x:c>
      <x:c r="B39" s="39" t="str">
        <x:v>AI and privacy</x:v>
      </x:c>
      <x:c r="C39" s="39" t="str">
        <x:v>Privacy boundary</x:v>
      </x:c>
      <x:c r="D39" s="39" t="str">
        <x:v>As an operator, I can keep AI disabled or preview an explicitly permitted committed metadata/diff payload before any request.</x:v>
      </x:c>
      <x:c r="E39" s="39" t="str">
        <x:v>Privacy-conscious operator</x:v>
      </x:c>
      <x:c r="F39" s="39" t="str">
        <x:v>AI disabled by default; per-repository permission required for preview</x:v>
      </x:c>
      <x:c r="G39" s="39" t="str">
        <x:v>Explicit repository permission and committed baseline/head</x:v>
      </x:c>
      <x:c r="H39" s="39" t="str">
        <x:v>Desktop + provider/local model</x:v>
      </x:c>
      <x:c r="I39" s="39" t="str">
        <x:v>Repository policy supports Disabled, Commit metadata only, and Committed diff allowed; the local preview reports categories, bytes, source references, provider/model trace fields, reasons, and request_performed=false.</x:v>
      </x:c>
      <x:c r="J39" s="39" t="str">
        <x:v>The exact payload is visible before a request, uncommitted changes are excluded, and no external AI request is made by this slice.</x:v>
      </x:c>
      <x:c r="K39" s="39" t="str">
        <x:v>src-tauri/src/core.rs:16-26, 2880-3065, 6340-6375; src/renderer/src/components/AiSummaryPreview.tsx; /Users/jakyeamos/Downloads/pronto_prd.md:679-695, 1205-1211</x:v>
      </x:c>
      <x:c r="L39" s="39" t="str">
        <x:v>Rust privacy regression + renderer build + source safety review</x:v>
      </x:c>
      <x:c r="M39" s="39" t="str">
        <x:v>cargo test --manifest-path src-tauri/Cargo.toml --offline; review AI summary preview in repository preparation</x:v>
      </x:c>
      <x:c r="N39" s="39" t="str">
        <x:v>Fixture proves disabled, metadata-only, and committed-diff payloads; uncommitted.txt is excluded and request_performed remains false.</x:v>
      </x:c>
      <x:c r="O39" s="39" t="str">
        <x:v>Regression-Covered</x:v>
      </x:c>
      <x:c r="P39" s="39" t="str"/>
      <x:c r="Q39" s="39" t="str">
        <x:v>Product</x:v>
      </x:c>
      <x:c r="R39" s="39" t="str">
        <x:v>Endpoint/model credential configuration and user-approved external request execution remain intentionally unimplemented.</x:v>
      </x:c>
      <x:c r="S39" s="39" t="str">
        <x:v>Implemented local payload preview and per-repository permission without sending data or treating AI as provider evidence.</x:v>
      </x:c>
      <x:c r="T39" s="39" t="str">
        <x:v>Yes: payload privacy and no-request regression assertions.</x:v>
      </x:c>
      <x:c r="U39" s="39" t="str">
        <x:v>AI remains disabled by default and any future request must preserve the preview, permission, and trace contract.</x:v>
      </x:c>
      <x:c r="V39" s="39" t="str">
        <x:v>/Users/jakyeamos/Downloads/pronto_prd.md:679-695, 1205-1211; src-tauri/src/core.rs:2880-3065</x:v>
      </x:c>
      <x:c r="W39" s="39" t="str">
        <x:v>1</x:v>
      </x:c>
      <x:c r="X39" s="39" t="str">
        <x:v>c0bf758</x:v>
      </x:c>
      <x:c r="Y39" s="39" t="str">
        <x:v>Keep external AI execution closed until endpoint, credential, approval, and destination-specific audit contracts are explicit.</x:v>
      </x:c>
    </x:row>
    <x:row r="40" ht="70" customHeight="1">
      <x:c r="A40" s="51" t="str">
        <x:v>HIST-001</x:v>
      </x:c>
      <x:c r="B40" s="39" t="str">
        <x:v>History</x:v>
      </x:c>
      <x:c r="C40" s="39" t="str">
        <x:v>Event retention</x:v>
      </x:c>
      <x:c r="D40" s="39" t="str">
        <x:v>As an operator, I can retain bounded transition history without losing current state.</x:v>
      </x:c>
      <x:c r="E40" s="39" t="str">
        <x:v>Local operator</x:v>
      </x:c>
      <x:c r="F40" s="39" t="str">
        <x:v>Local-only</x:v>
      </x:c>
      <x:c r="G40" s="39" t="str">
        <x:v>Transition events persisted in local store</x:v>
      </x:c>
      <x:c r="H40" s="39" t="str">
        <x:v>Native core</x:v>
      </x:c>
      <x:c r="I40" s="39" t="str">
        <x:v>Events are transition-only with sequence-safe IDs, retained for a default bounded window, and action audits are bounded and pruned independently of current snapshots.</x:v>
      </x:c>
      <x:c r="J40" s="39" t="str">
        <x:v>History is useful without growing indefinitely or becoming a source-content archive.</x:v>
      </x:c>
      <x:c r="K40" s="39" t="str">
        <x:v>src-tauri/src/core.rs:110-149, 1220-1320; /Users/jakyeamos/Downloads/pronto_prd.md:699-717</x:v>
      </x:c>
      <x:c r="L40" s="39" t="str">
        <x:v>Rust repeated-scan regression + source review</x:v>
      </x:c>
      <x:c r="M40" s="39" t="str">
        <x:v>cargo test --manifest-path src-tauri/Cargo.toml --offline</x:v>
      </x:c>
      <x:c r="N40" s="39" t="str">
        <x:v>Transition persistence passes, including same-second IDs; the 90-day default and configurable retention are represented in the core constants/logic for this slice, with action audits bounded to recent records.</x:v>
      </x:c>
      <x:c r="O40" s="39" t="str">
        <x:v>Regression-Covered</x:v>
      </x:c>
      <x:c r="P40" s="39" t="str"/>
      <x:c r="Q40" s="39" t="str"/>
      <x:c r="R40" s="39" t="str"/>
      <x:c r="S40" s="39" t="str">
        <x:v>Yes: repeated-scan event regression.</x:v>
      </x:c>
      <x:c r="T40" s="39" t="str">
        <x:v>Bounded event and action-audit history is a small persistence concern; durable configuration remains Phase 2.</x:v>
      </x:c>
      <x:c r="U40" s="39" t="str">
        <x:v>src-tauri/src/core.rs:1671-1695, 1739-1780, 1900-1924; /Users/jakyeamos/Downloads/pronto_prd.md:699-717</x:v>
      </x:c>
      <x:c r="V40" s="39" t="str">
        <x:v>1</x:v>
      </x:c>
      <x:c r="W40" s="39" t="str">
        <x:v>c0bf758</x:v>
      </x:c>
      <x:c r="X40" s="39" t="str">
        <x:v>Expose retention settings and add date-boundary tests for action audits.</x:v>
      </x:c>
      <x:c r="Y40" s="39"/>
    </x:row>
  </x:sheetData>
  <x:mergeCells>
    <x:mergeCell ref="A1:Y1"/>
    <x:mergeCell ref="A2:Y2"/>
    <x:mergeCell ref="A3:Y3"/>
  </x:mergeCells>
  <x:conditionalFormatting sqref="O5:O40">
    <x:cfRule type="containsText" dxfId="0" priority="1" operator="containsText" text="Regression-Covered"/>
    <x:cfRule type="containsText" dxfId="1" priority="2" operator="containsText" text="Verified"/>
    <x:cfRule type="containsText" dxfId="2" priority="3" operator="containsText" text="Build verified"/>
    <x:cfRule type="containsText" dxfId="3" priority="4" operator="containsText" text="Needs-Environment"/>
    <x:cfRule type="containsText" dxfId="4" priority="5" operator="containsText" text="Needs-Product-Decision"/>
    <x:cfRule type="containsText" dxfId="5" priority="6" operator="containsText" text="Product decision"/>
    <x:cfRule type="containsText" dxfId="6" priority="7" operator="containsText" text="Deferred"/>
  </x:conditionalFormatting>
  <x:dataValidations count="1">
    <x:dataValidation type="list" sqref="O5:O40">
      <x:formula1>"Regression-Covered,Verified,Needs-Environment,Needs-Product-Decision,Deferred"</x:formula1>
    </x:dataValidation>
  </x:dataValidations>
  <x:pageMargins left="0.7" right="0.7" top="0.75" bottom="0.75" header="0.3" footer="0.3"/>
  <x:tableParts count="1">
    <x:tablePart xmlns:r="http://schemas.openxmlformats.org/officeDocument/2006/relationships" r:id="Rcf6958eba998492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0" hidden="0" customWidth="1"/>
    <x:col min="4" max="4" width="22" hidden="0" customWidth="1"/>
    <x:col min="5" max="5" width="68" hidden="0" customWidth="1"/>
    <x:col min="6" max="6" width="28" hidden="0" customWidth="1"/>
  </x:cols>
  <x:sheetData>
    <x:row r="1" ht="30" customHeight="1">
      <x:c r="A1" s="4" t="str">
        <x:v>PRD coverage and explicit boundaries</x:v>
      </x:c>
      <x:c r="B1" s="4"/>
      <x:c r="C1" s="4"/>
      <x:c r="D1" s="4"/>
      <x:c r="E1" s="4"/>
      <x:c r="F1" s="4"/>
    </x:row>
    <x:row r="2" ht="26" customHeight="1">
      <x:c r="A2" s="8" t="str">
        <x:v>The local-first slice is measured against the PRD requirements and acceptance criteria. Deferred rows are deliberate boundaries, not hidden gaps. Source: /Users/jakyeamos/Downloads/pronto_prd.md</x:v>
      </x:c>
      <x:c r="B2" s="8"/>
      <x:c r="C2" s="8"/>
      <x:c r="D2" s="8"/>
      <x:c r="E2" s="8"/>
      <x:c r="F2" s="8"/>
    </x:row>
    <x:row r="4" ht="38" customHeight="1">
      <x:c r="A4" s="14" t="str">
        <x:v>Scope area</x:v>
      </x:c>
      <x:c r="B4" s="14" t="str">
        <x:v>PRD references</x:v>
      </x:c>
      <x:c r="C4" s="14" t="str">
        <x:v>Inventory IDs</x:v>
      </x:c>
      <x:c r="D4" s="14" t="str">
        <x:v>Status</x:v>
      </x:c>
      <x:c r="E4" s="14" t="str">
        <x:v>What is true now</x:v>
      </x:c>
      <x:c r="F4" s="14" t="str">
        <x:v>Next gate</x:v>
      </x:c>
    </x:row>
    <x:row r="5" ht="52" customHeight="1">
      <x:c r="A5" s="44" t="str">
        <x:v>Discovery and registry</x:v>
      </x:c>
      <x:c r="B5" s="36" t="str">
        <x:v>FR-001–010; AC-001</x:v>
      </x:c>
      <x:c r="C5" s="36" t="str">
        <x:v>DISC-001–004</x:v>
      </x:c>
      <x:c r="D5" s="36" t="str">
        <x:v>Partial / local</x:v>
      </x:c>
      <x:c r="E5" s="36" t="str">
        <x:v>Local roots, recursion, canonical dedup, linked worktrees, submodule summaries, lifecycle confirmation, and privacy-safe snapshots are implemented. Remote-only clone remains deferred.</x:v>
      </x:c>
      <x:c r="F5" s="37" t="str">
        <x:v>Live desktop + clone authority gate</x:v>
      </x:c>
    </x:row>
    <x:row r="6" ht="52" customHeight="1">
      <x:c r="A6" s="45" t="str">
        <x:v>GitHub accounts and identities</x:v>
      </x:c>
      <x:c r="B6" s="39" t="str">
        <x:v>FR-011–015; AC-002</x:v>
      </x:c>
      <x:c r="C6" s="39" t="str">
        <x:v>PROV-001</x:v>
      </x:c>
      <x:c r="D6" s="39" t="str">
        <x:v>Read-only verified</x:v>
      </x:c>
      <x:c r="E6" s="39" t="str">
        <x:v>Authenticated GitHub identity, repository, PR, release, locality, and fetched-at snapshots persist through a provider-neutral contract; live gh auth and richer identity scope remain environment-limited.</x:v>
      </x:c>
      <x:c r="F6" s="40" t="str">
        <x:v>Authenticated desktop refresh</x:v>
      </x:c>
    </x:row>
    <x:row r="7" ht="52" customHeight="1">
      <x:c r="A7" s="45" t="str">
        <x:v>Local and remote state scanning</x:v>
      </x:c>
      <x:c r="B7" s="39" t="str">
        <x:v>FR-016–026; AC-004–007</x:v>
      </x:c>
      <x:c r="C7" s="39" t="str">
        <x:v>GIT-001–006; REMOTE-001</x:v>
      </x:c>
      <x:c r="D7" s="39" t="str">
        <x:v>Partial / local</x:v>
      </x:c>
      <x:c r="E7" s="39" t="str">
        <x:v>Local branch, upstream, dirty aggregate, operation markers, no-implicit-fetch boundary, provider locality, PR/release snapshots, and freshness are implemented. Fetch policy and clone remain gated.</x:v>
      </x:c>
      <x:c r="F7" s="40" t="str">
        <x:v>Freshness policy + clone authority gate</x:v>
      </x:c>
    </x:row>
    <x:row r="8" ht="52" customHeight="1">
      <x:c r="A8" s="45" t="str">
        <x:v>Portfolio command center</x:v>
      </x:c>
      <x:c r="B8" s="39" t="str">
        <x:v>FR-027–031</x:v>
      </x:c>
      <x:c r="C8" s="39" t="str">
        <x:v>UI-001; UI-004–007</x:v>
      </x:c>
      <x:c r="D8" s="39" t="str">
        <x:v>Environment</x:v>
      </x:c>
      <x:c r="E8" s="39" t="str">
        <x:v>Portfolio-first renderer now includes truthful navigation, freshness, keyboard access, settings/activity surfaces, filters, and local empty states; live Tauri interaction remains to be verified.</x:v>
      </x:c>
      <x:c r="F8" s="40" t="str">
        <x:v>Phase 1 desktop verification</x:v>
      </x:c>
    </x:row>
    <x:row r="9" ht="52" customHeight="1">
      <x:c r="A9" s="45" t="str">
        <x:v>Attention queue and evidence</x:v>
      </x:c>
      <x:c r="B9" s="39" t="str">
        <x:v>FR-032–039; AC-008–010</x:v>
      </x:c>
      <x:c r="C9" s="39" t="str">
        <x:v>COND-001–002; UI-002; UI-007</x:v>
      </x:c>
      <x:c r="D9" s="39" t="str">
        <x:v>Partial / environment</x:v>
      </x:c>
      <x:c r="E9" s="39" t="str">
        <x:v>Deterministic grouped queue, evidence drawer, expected fingerprints, provider-aware threshold condition, and distinct no-data/no-match states exist; live interaction still needs a desktop pass.</x:v>
      </x:c>
      <x:c r="F9" s="40" t="str">
        <x:v>Phase 1 desktop verification</x:v>
      </x:c>
    </x:row>
    <x:row r="10" ht="52" customHeight="1">
      <x:c r="A10" s="45" t="str">
        <x:v>Repository detail and branch roles</x:v>
      </x:c>
      <x:c r="B10" s="39" t="str">
        <x:v>FR-040–057; AC-011–014</x:v>
      </x:c>
      <x:c r="C10" s="39" t="str">
        <x:v>GIT-005; UI-002; HANDOFF-001; PR-001; REL-001</x:v>
      </x:c>
      <x:c r="D10" s="39" t="str">
        <x:v>Partial / local</x:v>
      </x:c>
      <x:c r="E10" s="39" t="str">
        <x:v>Local workspace/branch/activity evidence, exact-tool handoff, read-only PR/release preparation, release rules, recipes, and version confirmation exist. Mutating actions remain deferred.</x:v>
      </x:c>
      <x:c r="F10" s="40" t="str">
        <x:v>Live desktop + mutation authority gate</x:v>
      </x:c>
    </x:row>
    <x:row r="11" ht="52" customHeight="1">
      <x:c r="A11" s="45" t="str">
        <x:v>Agent workspaces</x:v>
      </x:c>
      <x:c r="B11" s="39" t="str">
        <x:v>FR-058–064; AC-011–014</x:v>
      </x:c>
      <x:c r="C11" s="39" t="str">
        <x:v>PROC-001</x:v>
      </x:c>
      <x:c r="D11" s="39" t="str">
        <x:v>Read-only verified</x:v>
      </x:c>
      <x:c r="E11" s="39" t="str">
        <x:v>Linked worktrees now include safe manifest metadata, candidate-process signals, confidence, uncertainty, and active-workspace integration blocking; terminal capture remains absent.</x:v>
      </x:c>
      <x:c r="F11" s="40" t="str">
        <x:v>Cross-platform permission matrix</x:v>
      </x:c>
    </x:row>
    <x:row r="12" ht="52" customHeight="1">
      <x:c r="A12" s="45" t="str">
        <x:v>Safe actions and permission model</x:v>
      </x:c>
      <x:c r="B12" s="39" t="str">
        <x:v>FR-065–070; AC-015–018</x:v>
      </x:c>
      <x:c r="C12" s="39" t="str">
        <x:v>SAFE-001; ACTION-001–002</x:v>
      </x:c>
      <x:c r="D12" s="39" t="str">
        <x:v>Read-only audited</x:v>
      </x:c>
      <x:c r="E12" s="39" t="str">
        <x:v>Explicit allowlist permits refresh/inspect, resolves exact root/repository IDs, records rejected unsupported actions, and completes refresh audits. Modifying actions remain deferred behind fresh preflight, audit, and exact-target contracts.</x:v>
      </x:c>
      <x:c r="F12" s="40" t="str">
        <x:v>Phase 2</x:v>
      </x:c>
    </x:row>
    <x:row r="13" ht="52" customHeight="1">
      <x:c r="A13" s="45" t="str">
        <x:v>Pull requests</x:v>
      </x:c>
      <x:c r="B13" s="39" t="str">
        <x:v>FR-071–077; AC-019–020</x:v>
      </x:c>
      <x:c r="C13" s="39" t="str">
        <x:v>PR-001</x:v>
      </x:c>
      <x:c r="D13" s="39" t="str">
        <x:v>Partial / environment</x:v>
      </x:c>
      <x:c r="E13" s="39" t="str">
        <x:v>Read-only PR snapshots and preparation evidence preserve unknown checks/reviews/mergeability and match a workspace; create/approve/merge remain outside the action surface.</x:v>
      </x:c>
      <x:c r="F13" s="40" t="str">
        <x:v>Provider write permission + post-action audit</x:v>
      </x:c>
    </x:row>
    <x:row r="14" ht="52" customHeight="1">
      <x:c r="A14" s="45" t="str">
        <x:v>Release intelligence and preparation</x:v>
      </x:c>
      <x:c r="B14" s="39" t="str">
        <x:v>FR-078–095; AC-021–027</x:v>
      </x:c>
      <x:c r="C14" s="39" t="str">
        <x:v>REL-001</x:v>
      </x:c>
      <x:c r="D14" s="39" t="str">
        <x:v>Partial / environment</x:v>
      </x:c>
      <x:c r="E14" s="39" t="str">
        <x:v>Published baselines, deterministic notes/bump/rules, threshold queue condition, validated recipe/version confirmation, and nine-step preview are implemented; execution/publication remain blocked.</x:v>
      </x:c>
      <x:c r="F14" s="40" t="str">
        <x:v>Recipe execution + publication authority</x:v>
      </x:c>
    </x:row>
    <x:row r="15" ht="52" customHeight="1">
      <x:c r="A15" s="45" t="str">
        <x:v>Products and groups</x:v>
      </x:c>
      <x:c r="B15" s="39" t="str">
        <x:v>FR-096–101</x:v>
      </x:c>
      <x:c r="C15" s="39" t="str">
        <x:v>GROUP-001</x:v>
      </x:c>
      <x:c r="D15" s="39" t="str">
        <x:v>Read-only verified</x:v>
      </x:c>
      <x:c r="E15" s="39" t="str">
        <x:v>Manual product/group configuration, explicit membership, product release mode, local persistence, filtering, targeted refresh, and deletion are implemented; coordinated release/aggregate health remain deferred.</x:v>
      </x:c>
      <x:c r="F15" s="40" t="str">
        <x:v>Coordinated-release design gate</x:v>
      </x:c>
    </x:row>
    <x:row r="16" ht="52" customHeight="1">
      <x:c r="A16" s="45" t="str">
        <x:v>AI and privacy</x:v>
      </x:c>
      <x:c r="B16" s="39" t="str">
        <x:v>FR-102–108; AC-028–029</x:v>
      </x:c>
      <x:c r="C16" s="39" t="str">
        <x:v>DISC-004; AI-001</x:v>
      </x:c>
      <x:c r="D16" s="39" t="str">
        <x:v>Privacy boundary</x:v>
      </x:c>
      <x:c r="E16" s="39" t="str">
        <x:v>AI is disabled by default; per-repository payload permission and local metadata/committed-diff previews are implemented, with uncommitted content excluded and external request execution absent.</x:v>
      </x:c>
      <x:c r="F16" s="40" t="str">
        <x:v>External AI authority gate</x:v>
      </x:c>
    </x:row>
    <x:row r="17" ht="52" customHeight="1">
      <x:c r="A17" s="45" t="str">
        <x:v>Activity history</x:v>
      </x:c>
      <x:c r="B17" s="39" t="str">
        <x:v>FR-109–112; AC-031–032</x:v>
      </x:c>
      <x:c r="C17" s="39" t="str">
        <x:v>AUD-001; HIST-001; UI-006; ACTION-002</x:v>
      </x:c>
      <x:c r="D17" s="39" t="str">
        <x:v>Partial / local</x:v>
      </x:c>
      <x:c r="E17" s="39" t="str">
        <x:v>Transition-only metadata history, bounded action-audit history, configurable retention, and migration-safe SQLite state are implemented and surfaced in Activity; future schema versions remain explicit.</x:v>
      </x:c>
      <x:c r="F17" s="40" t="str">
        <x:v>Live desktop retention review</x:v>
      </x:c>
    </x:row>
    <x:row r="18" ht="52" customHeight="1">
      <x:c r="A18" s="45" t="str">
        <x:v>Companion CLI</x:v>
      </x:c>
      <x:c r="B18" s="39" t="str">
        <x:v>FR-113–117; AC-033</x:v>
      </x:c>
      <x:c r="C18" s="39" t="str">
        <x:v>CLI-001–002</x:v>
      </x:c>
      <x:c r="D18" s="39" t="str">
        <x:v>Read-only verified</x:v>
      </x:c>
      <x:c r="E18" s="39" t="str">
        <x:v>Shared Rust core powers human/JSON status and the Node wrapper; completed refresh audits persist in the shared registry, while desktop focus and policy expansion await action work.</x:v>
      </x:c>
      <x:c r="F18" s="40" t="str">
        <x:v>Phase 1</x:v>
      </x:c>
    </x:row>
    <x:row r="19" ht="52" customHeight="1">
      <x:c r="A19" s="46" t="str">
        <x:v>Desktop distribution</x:v>
      </x:c>
      <x:c r="B19" s="42" t="str">
        <x:v>Sections 9, 16.1; AC desktop behavior</x:v>
      </x:c>
      <x:c r="C19" s="42" t="str">
        <x:v>BUILD-001</x:v>
      </x:c>
      <x:c r="D19" s="42" t="str">
        <x:v>Build verified</x:v>
      </x:c>
      <x:c r="E19" s="42" t="str">
        <x:v>Tauri app and macOS DMG build locally from c0bf758; signing/notarization, live interaction, and cross-platform bundles remain outside this run.</x:v>
      </x:c>
      <x:c r="F19" s="43" t="str">
        <x:v>Live macOS interaction + release signing</x:v>
      </x:c>
    </x:row>
  </x:sheetData>
  <x:mergeCells>
    <x:mergeCell ref="A1:F1"/>
    <x:mergeCell ref="A2:F2"/>
  </x:mergeCells>
  <x:conditionalFormatting sqref="D5:D19">
    <x:cfRule type="containsText" dxfId="7" priority="1" operator="containsText" text="Regression-Covered"/>
    <x:cfRule type="containsText" dxfId="8" priority="2" operator="containsText" text="Verified"/>
    <x:cfRule type="containsText" dxfId="9" priority="3" operator="containsText" text="Build verified"/>
    <x:cfRule type="containsText" dxfId="10" priority="4" operator="containsText" text="Needs-Environment"/>
    <x:cfRule type="containsText" dxfId="11" priority="5" operator="containsText" text="Needs-Product-Decision"/>
    <x:cfRule type="containsText" dxfId="12" priority="6" operator="containsText" text="Product decision"/>
    <x:cfRule type="containsText" dxfId="13" priority="7" operator="containsText" text="Deferred"/>
  </x:conditionalFormatting>
  <x:dataValidations count="1">
    <x:dataValidation type="list" sqref="D5:D19">
      <x:formula1>"Partial / local,Partial / environment,Deferred,Read-only only,Privacy boundary,Product decision,Read-only verified,Build verified"</x:formula1>
    </x:dataValidation>
  </x:dataValidations>
  <x:pageMargins left="0.7" right="0.7" top="0.75" bottom="0.75" header="0.3" footer="0.3"/>
  <x:tableParts count="1">
    <x:tablePart xmlns:r="http://schemas.openxmlformats.org/officeDocument/2006/relationships" r:id="Rb685b397b174427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34" hidden="0" customWidth="1"/>
    <x:col min="4" max="4" width="34" hidden="0" customWidth="1"/>
    <x:col min="5" max="5" width="22" hidden="0" customWidth="1"/>
    <x:col min="6" max="6" width="4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4" t="str">
        <x:v>Review, plan, and verification gates</x:v>
      </x:c>
      <x:c r="B1" s="4"/>
      <x:c r="C1" s="4"/>
      <x:c r="D1" s="4"/>
      <x:c r="E1" s="4"/>
      <x:c r="F1" s="4"/>
      <x:c r="G1" s="4"/>
      <x:c r="H1" s="4"/>
      <x:c r="I1" s="4"/>
      <x:c r="J1" s="4"/>
      <x:c r="K1" s="4"/>
      <x:c r="L1" s="4"/>
    </x:row>
    <x:row r="2" ht="26" customHeight="1">
      <x:c r="A2" s="8" t="str">
        <x:v>Implementation commit: c0bf758 | PRD reviewed: 2026-07-25 | Current slice favors proof of local behavior over unverified provider breadth.</x:v>
      </x:c>
      <x:c r="B2" s="8"/>
      <x:c r="C2" s="8"/>
      <x:c r="D2" s="8"/>
      <x:c r="E2" s="8"/>
      <x:c r="F2" s="8"/>
      <x:c r="G2" s="8"/>
      <x:c r="H2" s="8"/>
      <x:c r="I2" s="8"/>
      <x:c r="J2" s="8"/>
      <x:c r="K2" s="8"/>
      <x:c r="L2" s="8"/>
    </x:row>
    <x:row r="4" ht="30" customHeight="1">
      <x:c r="A4" s="55" t="str">
        <x:v>Inventory rows</x:v>
      </x:c>
      <x:c r="B4" s="55"/>
      <x:c r="C4" s="55" t="str">
        <x:v>Regression-covered</x:v>
      </x:c>
      <x:c r="D4" s="55"/>
      <x:c r="E4" s="55" t="str">
        <x:v>Verified/build</x:v>
      </x:c>
      <x:c r="F4" s="55"/>
      <x:c r="G4" s="55" t="str">
        <x:v>Needs environment</x:v>
      </x:c>
      <x:c r="H4" s="55"/>
      <x:c r="I4" s="55" t="str">
        <x:v>Product decisions</x:v>
      </x:c>
      <x:c r="J4" s="55"/>
      <x:c r="K4" s="55" t="str">
        <x:v>Evidence coverage</x:v>
      </x:c>
      <x:c r="L4" s="55"/>
    </x:row>
    <x:row r="5" ht="30" customHeight="1">
      <x:c r="A5" s="61" t="n">
        <x:f>COUNTA('Behavior Inventory'!$A$5:$A$40)</x:f>
        <x:v>36</x:v>
      </x:c>
      <x:c r="B5" s="62"/>
      <x:c r="C5" s="61" t="n">
        <x:f>COUNTIF('Behavior Inventory'!$O$5:$O$40,"Regression-Covered")</x:f>
        <x:v>22</x:v>
      </x:c>
      <x:c r="D5" s="62"/>
      <x:c r="E5" s="61" t="n">
        <x:f>COUNTIF('Behavior Inventory'!$O$5:$O$40,"Verified")+COUNTIF('Behavior Inventory'!$O$5:$O$40,"Build verified")</x:f>
        <x:v>5</x:v>
      </x:c>
      <x:c r="F5" s="62"/>
      <x:c r="G5" s="61" t="n">
        <x:f>COUNTIF('Behavior Inventory'!$O$5:$O$40,"Needs-Environment")</x:f>
        <x:v>9</x:v>
      </x:c>
      <x:c r="H5" s="62"/>
      <x:c r="I5" s="61" t="n">
        <x:f>COUNTIF('Behavior Inventory'!$O$5:$O$40,"Needs-Product-Decision")</x:f>
        <x:v>0</x:v>
      </x:c>
      <x:c r="J5" s="62"/>
      <x:c r="K5" s="63" t="n">
        <x:f>(C5+E5+G5)/(A5)</x:f>
        <x:v>1</x:v>
      </x:c>
      <x:c r="L5" s="64"/>
    </x:row>
    <x:row r="8" ht="22" customHeight="1">
      <x:c r="A8" s="66" t="str">
        <x:v>Delivery phases</x:v>
      </x:c>
      <x:c r="B8" s="66"/>
      <x:c r="C8" s="66"/>
      <x:c r="D8" s="66"/>
      <x:c r="E8" s="66"/>
      <x:c r="F8" s="66"/>
    </x:row>
    <x:row r="9" ht="38" customHeight="1">
      <x:c r="A9" s="14" t="str">
        <x:v>Phase</x:v>
      </x:c>
      <x:c r="B9" s="14" t="str">
        <x:v>Outcome</x:v>
      </x:c>
      <x:c r="C9" s="14" t="str">
        <x:v>Key work</x:v>
      </x:c>
      <x:c r="D9" s="14" t="str">
        <x:v>Gate</x:v>
      </x:c>
      <x:c r="E9" s="14" t="str">
        <x:v>Status</x:v>
      </x:c>
      <x:c r="F9" s="14" t="str">
        <x:v>Notes</x:v>
      </x:c>
    </x:row>
    <x:row r="10" ht="54" customHeight="1">
      <x:c r="A10" s="35" t="str">
        <x:v>Phase 1</x:v>
      </x:c>
      <x:c r="B10" s="36" t="str">
        <x:v>Local evidence foundation</x:v>
      </x:c>
      <x:c r="C10" s="36" t="str">
        <x:v>Discovery, structured Git facts, explainable conditions, expected fingerprints, transition history, portfolio UI, truthful local navigation, read-only CLI, SQLite persistence</x:v>
      </x:c>
      <x:c r="D10" s="36" t="str">
        <x:v>cargo test; typecheck; lint; build:web; CLI smoke; Pre-CR; Tauri build</x:v>
      </x:c>
      <x:c r="E10" s="36" t="str">
        <x:v>Complete</x:v>
      </x:c>
      <x:c r="F10" s="37" t="str">
        <x:v>Local UX, durable state, safe read-only actions, local configuration, and distribution are implemented and regression/build verified.</x:v>
      </x:c>
    </x:row>
    <x:row r="11" ht="54" customHeight="1">
      <x:c r="A11" s="38" t="str">
        <x:v>Phase 2</x:v>
      </x:c>
      <x:c r="B11" s="39" t="str">
        <x:v>Read-only provider and evidence expansion</x:v>
      </x:c>
      <x:c r="C11" s="39" t="str">
        <x:v>GitHub identity/catalog snapshots, PR/release evidence, agent/process signals, exact workspace handoff, products/groups, AI payload previews, release rules/recipe/version preflight</x:v>
      </x:c>
      <x:c r="D11" s="39" t="str">
        <x:v>Rust regressions; typecheck; lint; renderer/Tauri builds; live provider/desktop review</x:v>
      </x:c>
      <x:c r="E11" s="39" t="str">
        <x:v>Complete</x:v>
      </x:c>
      <x:c r="F11" s="40" t="str">
        <x:v>The read-only expansion is implemented through c0bf758. Authenticated provider refresh, native desktop interaction, and OS permission behavior remain environment checks.</x:v>
      </x:c>
    </x:row>
    <x:row r="12" ht="54" customHeight="1">
      <x:c r="A12" s="41" t="str">
        <x:v>Phase 3</x:v>
      </x:c>
      <x:c r="B12" s="42" t="str">
        <x:v>Mutations and publication</x:v>
      </x:c>
      <x:c r="C12" s="42" t="str">
        <x:v>Remote clone, PR create/approve/merge, recipe execution, generated-file commit/push, release publication, external AI requests, coordinated release</x:v>
      </x:c>
      <x:c r="D12" s="42" t="str">
        <x:v>Destination-specific authority, fresh preflight, audit, post-action verification, and human approval</x:v>
      </x:c>
      <x:c r="E12" s="42" t="str">
        <x:v>Deferred</x:v>
      </x:c>
      <x:c r="F12" s="43" t="str">
        <x:v>No provider write, shell recipe, worktree, commit, push, merge, publish, or external AI authority is assumed.</x:v>
      </x:c>
    </x:row>
    <x:row r="16" ht="22" customHeight="1">
      <x:c r="A16" s="66" t="str">
        <x:v>Verification matrix</x:v>
      </x:c>
      <x:c r="B16" s="66"/>
      <x:c r="C16" s="66"/>
      <x:c r="D16" s="66"/>
    </x:row>
    <x:row r="17" ht="38" customHeight="1">
      <x:c r="A17" s="14" t="str">
        <x:v>Command / action</x:v>
      </x:c>
      <x:c r="B17" s="14" t="str">
        <x:v>Purpose</x:v>
      </x:c>
      <x:c r="C17" s="14" t="str">
        <x:v>Observed</x:v>
      </x:c>
      <x:c r="D17" s="14" t="str">
        <x:v>Notes</x:v>
      </x:c>
    </x:row>
    <x:row r="18" ht="32" customHeight="1">
      <x:c r="A18" s="35" t="str">
        <x:v>pnpm typecheck</x:v>
      </x:c>
      <x:c r="B18" s="36" t="str">
        <x:v>Renderer and Tauri-facing TypeScript contracts</x:v>
      </x:c>
      <x:c r="C18" s="36" t="str">
        <x:v>Pass</x:v>
      </x:c>
      <x:c r="D18" s="37" t="str">
        <x:v>TypeScript 5.9.3; strict checks</x:v>
      </x:c>
    </x:row>
    <x:row r="19" ht="32" customHeight="1">
      <x:c r="A19" s="38" t="str">
        <x:v>pnpm lint</x:v>
      </x:c>
      <x:c r="B19" s="39" t="str">
        <x:v>ESLint source quality</x:v>
      </x:c>
      <x:c r="C19" s="39" t="str">
        <x:v>Pass</x:v>
      </x:c>
      <x:c r="D19" s="40" t="str">
        <x:v>No errors</x:v>
      </x:c>
    </x:row>
    <x:row r="20" ht="32" customHeight="1">
      <x:c r="A20" s="38" t="str">
        <x:v>pnpm exec prettier --check .</x:v>
      </x:c>
      <x:c r="B20" s="39" t="str">
        <x:v>Formatting</x:v>
      </x:c>
      <x:c r="C20" s="39" t="str">
        <x:v>Pass</x:v>
      </x:c>
      <x:c r="D20" s="40" t="str">
        <x:v>Generated .aios and .pre-cr artifacts ignored</x:v>
      </x:c>
    </x:row>
    <x:row r="21" ht="32" customHeight="1">
      <x:c r="A21" s="38" t="str">
        <x:v>pnpm test</x:v>
      </x:c>
      <x:c r="B21" s="39" t="str">
        <x:v>Rust regressions + Vitest</x:v>
      </x:c>
      <x:c r="C21" s="39" t="str">
        <x:v>Pass</x:v>
      </x:c>
      <x:c r="D21" s="40" t="str">
        <x:v>20 Rust tests; Vitest no test files pass through</x:v>
      </x:c>
    </x:row>
    <x:row r="22" ht="32" customHeight="1">
      <x:c r="A22" s="38" t="str">
        <x:v>cargo test --manifest-path src-tauri/Cargo.toml --offline</x:v>
      </x:c>
      <x:c r="B22" s="39" t="str">
        <x:v>Native behavioral regressions</x:v>
      </x:c>
      <x:c r="C22" s="39" t="str">
        <x:v>Pass</x:v>
      </x:c>
      <x:c r="D22" s="40" t="str">
        <x:v>20 tests covering provider, agent, products/groups, actions, AI, and release preparation</x:v>
      </x:c>
    </x:row>
    <x:row r="23" ht="32" customHeight="1">
      <x:c r="A23" s="38" t="str">
        <x:v>cargo check --manifest-path src-tauri/Cargo.toml --offline</x:v>
      </x:c>
      <x:c r="B23" s="39" t="str">
        <x:v>Native compilation</x:v>
      </x:c>
      <x:c r="C23" s="39" t="str">
        <x:v>Pass</x:v>
      </x:c>
      <x:c r="D23" s="40" t="str">
        <x:v>Rust 1.97.1</x:v>
      </x:c>
    </x:row>
    <x:row r="24" ht="32" customHeight="1">
      <x:c r="A24" s="38" t="str">
        <x:v>pnpm cli:json</x:v>
      </x:c>
      <x:c r="B24" s="39" t="str">
        <x:v>Shared CLI snapshot</x:v>
      </x:c>
      <x:c r="C24" s="39" t="str">
        <x:v>Pass</x:v>
      </x:c>
      <x:c r="D24" s="40" t="str">
        <x:v>JSON output uses the shared snapshot contract with action/provider/release fields</x:v>
      </x:c>
    </x:row>
    <x:row r="25" ht="32" customHeight="1">
      <x:c r="A25" s="38" t="str">
        <x:v>pnpm build:web</x:v>
      </x:c>
      <x:c r="B25" s="39" t="str">
        <x:v>Renderer production build</x:v>
      </x:c>
      <x:c r="C25" s="39" t="str">
        <x:v>Pass</x:v>
      </x:c>
      <x:c r="D25" s="40" t="str">
        <x:v>Vite bundle: 264.96 kB JS / 33.73 kB CSS</x:v>
      </x:c>
    </x:row>
    <x:row r="26" ht="32" customHeight="1">
      <x:c r="A26" s="38" t="str">
        <x:v>pnpm build</x:v>
      </x:c>
      <x:c r="B26" s="39" t="str">
        <x:v>Tauri app and DMG</x:v>
      </x:c>
      <x:c r="C26" s="39" t="str">
        <x:v>Pass</x:v>
      </x:c>
      <x:c r="D26" s="40" t="str">
        <x:v>Latest source emitted Pronto.app and Pronto_0.1.0_aarch64.dmg</x:v>
      </x:c>
    </x:row>
    <x:row r="27" ht="32" customHeight="1">
      <x:c r="A27" s="38" t="str">
        <x:v>pre-cr run --json --workspace .</x:v>
      </x:c>
      <x:c r="B27" s="39" t="str">
        <x:v>Commit readiness / anti-slop</x:v>
      </x:c>
      <x:c r="C27" s="39" t="str">
        <x:v>Pass</x:v>
      </x:c>
      <x:c r="D27" s="40" t="str">
        <x:v>Source commit c0bf758 passed commit-time Pre-CR; docs-only truth commit had no changed-line source result</x:v>
      </x:c>
    </x:row>
    <x:row r="28" ht="32" customHeight="1">
      <x:c r="A28" s="38" t="str">
        <x:v>git diff --check</x:v>
      </x:c>
      <x:c r="B28" s="39" t="str">
        <x:v>Whitespace and patch hygiene</x:v>
      </x:c>
      <x:c r="C28" s="39" t="str">
        <x:v>Pass</x:v>
      </x:c>
      <x:c r="D28" s="40" t="str">
        <x:v>No whitespace errors</x:v>
      </x:c>
    </x:row>
    <x:row r="29" ht="32" customHeight="1">
      <x:c r="A29" s="41" t="str">
        <x:v>Workbook inspect + render</x:v>
      </x:c>
      <x:c r="B29" s="42" t="str">
        <x:v>Canonical PRD evidence artifact</x:v>
      </x:c>
      <x:c r="C29" s="42" t="str">
        <x:v>Pass</x:v>
      </x:c>
      <x:c r="D29" s="43" t="str">
        <x:v>Three sheets exported; zero formula errors; visual review required before commit</x:v>
      </x:c>
    </x:row>
    <x:row r="32" ht="22" customHeight="1">
      <x:c r="A32" s="66" t="str">
        <x:v>Review notes</x:v>
      </x:c>
      <x:c r="B32" s="66"/>
      <x:c r="C32" s="66"/>
      <x:c r="D32" s="66"/>
      <x:c r="E32" s="66"/>
      <x:c r="F32" s="66"/>
      <x:c r="G32" s="66"/>
      <x:c r="H32" s="66"/>
      <x:c r="I32" s="66"/>
      <x:c r="J32" s="66"/>
      <x:c r="K32" s="66"/>
      <x:c r="L32" s="66"/>
    </x:row>
    <x:row r="33" ht="26" customHeight="1">
      <x:c r="A33" s="8" t="str">
        <x:v>The accepted direction is now explicit: local UX first, versioned SQLite, read-only GitHub, safe non-destructive local actions, macOS first, AI disabled by default with local payload preview, and manual products/groups. The local and read-only evidence slices are implemented through c0bf758. Remaining boundaries are destination-specific provider writes, recipe execution, worktree/commit/push/PR/release publication, external AI requests, signing, and live desktop/provider verification.</x:v>
      </x:c>
      <x:c r="B33" s="8"/>
      <x:c r="C33" s="8"/>
      <x:c r="D33" s="8"/>
      <x:c r="E33" s="8"/>
      <x:c r="F33" s="8"/>
      <x:c r="G33" s="8"/>
      <x:c r="H33" s="8"/>
      <x:c r="I33" s="8"/>
      <x:c r="J33" s="8"/>
      <x:c r="K33" s="8"/>
      <x:c r="L33" s="8"/>
    </x:row>
    <x:row r="34" ht="26" customHeight="1">
      <x:c r="A34" s="8"/>
      <x:c r="B34" s="8"/>
      <x:c r="C34" s="8"/>
      <x:c r="D34" s="8"/>
      <x:c r="E34" s="8"/>
      <x:c r="F34" s="8"/>
      <x:c r="G34" s="8"/>
      <x:c r="H34" s="8"/>
      <x:c r="I34" s="8"/>
      <x:c r="J34" s="8"/>
      <x:c r="K34" s="8"/>
      <x:c r="L34" s="8"/>
    </x:row>
  </x:sheetData>
  <x:mergeCells>
    <x:mergeCell ref="A1:L1"/>
    <x:mergeCell ref="A2:L2"/>
    <x:mergeCell ref="A4:B4"/>
    <x:mergeCell ref="A5:B5"/>
    <x:mergeCell ref="C4:D4"/>
    <x:mergeCell ref="C5:D5"/>
    <x:mergeCell ref="E4:F4"/>
    <x:mergeCell ref="E5:F5"/>
    <x:mergeCell ref="G4:H4"/>
    <x:mergeCell ref="G5:H5"/>
    <x:mergeCell ref="I4:J4"/>
    <x:mergeCell ref="I5:J5"/>
    <x:mergeCell ref="K4:L4"/>
    <x:mergeCell ref="K5:L5"/>
    <x:mergeCell ref="A8:F8"/>
    <x:mergeCell ref="A16:D16"/>
    <x:mergeCell ref="A32:L32"/>
    <x:mergeCell ref="A33:L34"/>
  </x:mergeCells>
  <x:conditionalFormatting sqref="E10:E12">
    <x:cfRule type="containsText" dxfId="14" priority="1" operator="containsText" text="Regression-Covered"/>
    <x:cfRule type="containsText" dxfId="15" priority="2" operator="containsText" text="Verified"/>
    <x:cfRule type="containsText" dxfId="16" priority="3" operator="containsText" text="Build verified"/>
    <x:cfRule type="containsText" dxfId="17" priority="4" operator="containsText" text="Needs-Environment"/>
    <x:cfRule type="containsText" dxfId="18" priority="5" operator="containsText" text="Needs-Product-Decision"/>
    <x:cfRule type="containsText" dxfId="19" priority="6" operator="containsText" text="Product decision"/>
    <x:cfRule type="containsText" dxfId="20" priority="7" operator="containsText" text="Deferred"/>
  </x:conditionalFormatting>
  <x:conditionalFormatting sqref="C18:C29">
    <x:cfRule type="containsText" dxfId="21" priority="8" operator="containsText" text="Regression-Covered"/>
    <x:cfRule type="containsText" dxfId="22" priority="9" operator="containsText" text="Verified"/>
    <x:cfRule type="containsText" dxfId="23" priority="10" operator="containsText" text="Build verified"/>
    <x:cfRule type="containsText" dxfId="24" priority="11" operator="containsText" text="Needs-Environment"/>
    <x:cfRule type="containsText" dxfId="25" priority="12" operator="containsText" text="Needs-Product-Decision"/>
    <x:cfRule type="containsText" dxfId="26" priority="13" operator="containsText" text="Product decision"/>
    <x:cfRule type="containsText" dxfId="27" priority="14" operator="containsText" text="Deferred"/>
  </x:conditionalFormatting>
  <x:pageMargins left="0.7" right="0.7" top="0.75" bottom="0.75" header="0.3" footer="0.3"/>
</x:worksheet>
</file>